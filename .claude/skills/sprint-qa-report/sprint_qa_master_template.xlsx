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s" sheetId="1" r:id="rId4"/>
    <sheet state="visible" name="Overall Summary" sheetId="2" r:id="rId5"/>
    <sheet state="visible" name="TestCase Coverage" sheetId="3" r:id="rId6"/>
    <sheet state="visible" name="Sheet1" sheetId="4" r:id="rId7"/>
  </sheets>
  <definedNames/>
  <calcPr/>
  <extLst>
    <ext uri="GoogleSheetsCustomDataVersion2">
      <go:sheetsCustomData xmlns:go="http://customooxmlschemas.google.com/" r:id="rId8" roundtripDataChecksum="CXYzgl2fZhHGc3L5ZqCFUYXf71JNYS5Abaoulr1y1dI="/>
    </ext>
  </extLst>
</workbook>
</file>

<file path=xl/sharedStrings.xml><?xml version="1.0" encoding="utf-8"?>
<sst xmlns="http://schemas.openxmlformats.org/spreadsheetml/2006/main" count="566" uniqueCount="289">
  <si>
    <t>Workstream Overview:</t>
  </si>
  <si>
    <t>Date :25/03/2026</t>
  </si>
  <si>
    <t>CAB</t>
  </si>
  <si>
    <t>Yet to Create</t>
  </si>
  <si>
    <t>Sprint</t>
  </si>
  <si>
    <t>QA Exexution Progress</t>
  </si>
  <si>
    <t>Sprint Cycle</t>
  </si>
  <si>
    <t>2nd Mar - 13th Mar</t>
  </si>
  <si>
    <t>Story</t>
  </si>
  <si>
    <t>TS Coverage</t>
  </si>
  <si>
    <t>Pass</t>
  </si>
  <si>
    <t>Fail</t>
  </si>
  <si>
    <t>Blocked</t>
  </si>
  <si>
    <t>Deferred</t>
  </si>
  <si>
    <t>Pending</t>
  </si>
  <si>
    <t>Say/Do  Ratio</t>
  </si>
  <si>
    <t>Overall Status</t>
  </si>
  <si>
    <t>Green</t>
  </si>
  <si>
    <t>Progress Summary this Cycle</t>
  </si>
  <si>
    <t>- Worked on fixing existing master script failures
- 6 New test case added for Renewall and Amendment and OnDemand order creation.
- Scripting Completed  for  Renewal, amendment &amp; OnDemand order scenarios, Paymonthly project changes, Adhoc order creation scenarios from Roadmap/Project team, 
- Updated scripts based on the new Order page UI changes  and  bulk data Order creation, fulfillment and shipments details process.
- 6 application defects logged through automation ( QETA-27727 , QETA-27735, QETA-27807, QETA-27904, QETA-27807, QETA-27897 )</t>
  </si>
  <si>
    <t>Issues &amp; Risks</t>
  </si>
  <si>
    <t xml:space="preserve">-
</t>
  </si>
  <si>
    <t>Defects Trend</t>
  </si>
  <si>
    <t>P0</t>
  </si>
  <si>
    <t>P1</t>
  </si>
  <si>
    <t>P2</t>
  </si>
  <si>
    <t>P3</t>
  </si>
  <si>
    <t>P4</t>
  </si>
  <si>
    <r>
      <rPr>
        <rFont val="Calibri"/>
        <b val="0"/>
        <color rgb="FFFFF2CC"/>
        <sz val="11.0"/>
      </rPr>
      <t>Progress This Cycle</t>
    </r>
  </si>
  <si>
    <t>stories ready for QA</t>
  </si>
  <si>
    <t>stories QA In-Progress</t>
  </si>
  <si>
    <t>stories QA Completed</t>
  </si>
  <si>
    <t>stories ready for UAT</t>
  </si>
  <si>
    <t>UAT Completed</t>
  </si>
  <si>
    <t>Open</t>
  </si>
  <si>
    <t>Stories</t>
  </si>
  <si>
    <t>Closed</t>
  </si>
  <si>
    <t>Tasks</t>
  </si>
  <si>
    <t>Reopen</t>
  </si>
  <si>
    <t>Total Stories Planned</t>
  </si>
  <si>
    <t>QA Qualified</t>
  </si>
  <si>
    <t>Spill-Overs</t>
  </si>
  <si>
    <t>Automation Coverage</t>
  </si>
  <si>
    <t>Automation Candidates</t>
  </si>
  <si>
    <t>Cannot Be Automated</t>
  </si>
  <si>
    <t>Automated Tests</t>
  </si>
  <si>
    <t>Pending TCs for Automation</t>
  </si>
  <si>
    <t>Partially Automated - Feature not developed</t>
  </si>
  <si>
    <t>Coverage</t>
  </si>
  <si>
    <t>In Progress</t>
  </si>
  <si>
    <r>
      <rPr>
        <rFont val="Calibri"/>
        <color rgb="FF1155CC"/>
        <u/>
      </rPr>
      <t>PRDOPS-490</t>
    </r>
  </si>
  <si>
    <r>
      <rPr>
        <rFont val="Calibri"/>
        <color rgb="FF1155CC"/>
        <u/>
      </rPr>
      <t>PRDOPS-415</t>
    </r>
  </si>
  <si>
    <r>
      <rPr>
        <rFont val="Calibri"/>
        <color rgb="FF1155CC"/>
        <u/>
      </rPr>
      <t>PRDOPS-413</t>
    </r>
  </si>
  <si>
    <t>PRDOPS-477</t>
  </si>
  <si>
    <r>
      <rPr>
        <rFont val="Calibri"/>
        <color rgb="FF1155CC"/>
        <u/>
      </rPr>
      <t>PRDOPS-470</t>
    </r>
  </si>
  <si>
    <r>
      <rPr>
        <rFont val="Calibri"/>
        <color rgb="FF1155CC"/>
        <u/>
      </rPr>
      <t>PRDOPS-23</t>
    </r>
  </si>
  <si>
    <t>Module</t>
  </si>
  <si>
    <t>Test Case ID</t>
  </si>
  <si>
    <t xml:space="preserve">Test Case </t>
  </si>
  <si>
    <t>Test Case Description</t>
  </si>
  <si>
    <t>Expected Result</t>
  </si>
  <si>
    <t>Status</t>
  </si>
  <si>
    <t>Tested by</t>
  </si>
  <si>
    <t>Identified for Automation</t>
  </si>
  <si>
    <t>Automated</t>
  </si>
  <si>
    <r>
      <rPr>
        <rFont val="Calibri"/>
        <color rgb="FF1155CC"/>
        <u/>
      </rPr>
      <t>PRDOPS-490</t>
    </r>
  </si>
  <si>
    <t>NS</t>
  </si>
  <si>
    <t>PRDOPS-490-TC-001</t>
  </si>
  <si>
    <t>Verify that NS-SFDC Sync Status is updated to "Failed" in the NetSuite Fulfillment Status Record.</t>
  </si>
  <si>
    <t>Verify Integration Response Record Creation in NetSuite</t>
  </si>
  <si>
    <t>1.NS-SFDC Sync Status = "Failed"
2.Failure reason is logged correctly.
3.No incorrect status like Success/Completed.</t>
  </si>
  <si>
    <t>Madhu Peketi</t>
  </si>
  <si>
    <t>No</t>
  </si>
  <si>
    <t>Cannot Automate</t>
  </si>
  <si>
    <t>PRDOPS-490-TC-002</t>
  </si>
  <si>
    <t>Verify NetSuite sends failure notification email twice daily.  - Schedule: Daily 11.45 PM PST and 11.45 AM PST</t>
  </si>
  <si>
    <t>Email Trigger – Twice Daily</t>
  </si>
  <si>
    <t>1.Email sent twice daily.
2.Trigger occurs only if failed records exist.
3.No duplicate emails within same schedule cycle.</t>
  </si>
  <si>
    <t>PRDOPS-490-TC-003</t>
  </si>
  <si>
    <t>Validate Subject, Recipient and Body of email.</t>
  </si>
  <si>
    <t>Email Content Validation</t>
  </si>
  <si>
    <r>
      <rPr>
        <rFont val="Arial"/>
        <b/>
        <color theme="1"/>
      </rPr>
      <t xml:space="preserve">Subject must be exactly:
</t>
    </r>
    <r>
      <rPr>
        <rFont val="Arial"/>
        <color theme="1"/>
      </rPr>
      <t xml:space="preserve">Report: Order failed to shipped in SFDC
</t>
    </r>
    <r>
      <rPr>
        <rFont val="Arial"/>
        <b/>
        <color theme="1"/>
      </rPr>
      <t xml:space="preserve">To:
</t>
    </r>
    <r>
      <rPr>
        <rFont val="Arial"/>
        <color theme="1"/>
      </rPr>
      <t xml:space="preserve">prodopsapps@rubrik.com
</t>
    </r>
    <r>
      <rPr>
        <rFont val="Arial"/>
        <b/>
        <color theme="1"/>
      </rPr>
      <t xml:space="preserve">Email Body must contain:
</t>
    </r>
    <r>
      <rPr>
        <rFont val="Arial"/>
        <color theme="1"/>
      </rPr>
      <t>Hi Team,
Please find attached the list of order failed to get shipped in SFDC.
Review and try to fix this asap.
Thanks!</t>
    </r>
  </si>
  <si>
    <t>PRDOPS-490-TC-004</t>
  </si>
  <si>
    <t>Verify CSV file attachment and its contents.</t>
  </si>
  <si>
    <t>CSV Attachment Validation</t>
  </si>
  <si>
    <t>1.CSV file attached.
2.File opens without corruption.
3.Contains correct columns (Example):
       Order Number
       Fulfillment ID
       Failure Reason
       Sync Status
       Timestamp
4.Data matches NetSuite failed records.</t>
  </si>
  <si>
    <t>PRDOPS-490-TC-005</t>
  </si>
  <si>
    <t>Verify all failed records are included in one CSV file.</t>
  </si>
  <si>
    <t>Multiple Failed Records in Same Email</t>
  </si>
  <si>
    <t>1.All failed records are listed.
2.No missing entries.
3.No duplicate entries.</t>
  </si>
  <si>
    <t>PRDOPS-490-TC-006</t>
  </si>
  <si>
    <t>Verify behavior when no failed sync records exist.</t>
  </si>
  <si>
    <t>Negative Scenario – No Failed Records</t>
  </si>
  <si>
    <t>No email sent
(OR)
Email sent indicating "No failed records" (as per business rule).</t>
  </si>
  <si>
    <r>
      <rPr>
        <rFont val="Calibri"/>
        <color rgb="FF1155CC"/>
        <u/>
      </rPr>
      <t>PRDOPS-415</t>
    </r>
  </si>
  <si>
    <t>SFDC/NS</t>
  </si>
  <si>
    <t>PRDOPS-415-TC-001</t>
  </si>
  <si>
    <t>Verify that a new integration response record is created in NetSuite when SFDC Order does not capture NetSuite ID during booking.</t>
  </si>
  <si>
    <t>1.A new Integration Response Record is created in NetSuite.
2.Record contains error details indicating missing NetSuite ID in SFDC.
3.Timestamp and Order reference are correct.
4. Error Msg : Error Message: Could not find NetSuite_Order__c in SFDC ORDER.</t>
  </si>
  <si>
    <t>PRDOPS-415-TC-002</t>
  </si>
  <si>
    <t>1.A new Integration Response Record is created in NetSuite.
2.Record contains error details indicating missing NetSuite ID in SFDC.
3.Timestamp and Order reference are correct.
4. Error Msg : Error Message: Could not find NetSuite_Order__c in SFDC ORDER</t>
  </si>
  <si>
    <t>PRDOPS-415-TC-003</t>
  </si>
  <si>
    <r>
      <rPr>
        <rFont val="Arial"/>
        <color theme="1"/>
      </rPr>
      <t xml:space="preserve">Verify that Sync Status is updated to "Failed" in NetSuite Fulfillment Status Record.- Test Order </t>
    </r>
    <r>
      <rPr>
        <rFont val="Arial"/>
        <b/>
        <color theme="1"/>
      </rPr>
      <t>EDI</t>
    </r>
  </si>
  <si>
    <t>Verify NS-SFDC Sync Status Updated to "Failed"</t>
  </si>
  <si>
    <t>1.NS-SFDC Sync Status = "Failed"
2.Failure reason logged properly.
3.No duplicate status updates.
4. Error Msg : Error Message: Could not find NetSuite_Order__c in SFDC ORDER</t>
  </si>
  <si>
    <t>PRDOPS-415-TC-004</t>
  </si>
  <si>
    <r>
      <rPr>
        <rFont val="Arial"/>
        <color theme="1"/>
      </rPr>
      <t xml:space="preserve">Verify that Sync Status is updated to "Failed" in NetSuite Fulfillment Status Record.- Test Order </t>
    </r>
    <r>
      <rPr>
        <rFont val="Arial"/>
        <b/>
        <color theme="1"/>
      </rPr>
      <t xml:space="preserve">Non-EDI   -
</t>
    </r>
    <r>
      <rPr>
        <rFont val="Arial"/>
        <color theme="1"/>
      </rPr>
      <t>(Use Product :: SELECT Id, Name 
FROM Product2 
WHERE Order_Fulfillment__c = 'Manual')</t>
    </r>
  </si>
  <si>
    <t>PRDOPS-415-TC-005</t>
  </si>
  <si>
    <r>
      <rPr>
        <rFont val="Arial"/>
        <color theme="1"/>
      </rPr>
      <t>Verify that Sync Status is updated to "Failed" in NetSuite Fulfillment Status Record.- Test Order</t>
    </r>
    <r>
      <rPr>
        <rFont val="Arial"/>
        <b/>
        <color theme="1"/>
      </rPr>
      <t>(Manual fulfilment)</t>
    </r>
  </si>
  <si>
    <t>PRDOPS-415-TC-006</t>
  </si>
  <si>
    <r>
      <rPr>
        <rFont val="Arial"/>
        <color theme="1"/>
      </rPr>
      <t xml:space="preserve">Verify that Sync Status is updated to "Failed" in NetSuite Fulfillment Status Record.- Test for </t>
    </r>
    <r>
      <rPr>
        <rFont val="Arial"/>
        <b/>
        <color theme="1"/>
      </rPr>
      <t>Renewal/ Amendment Order_Auto Fulfillment</t>
    </r>
  </si>
  <si>
    <t>PRDOPS-415-TC-007</t>
  </si>
  <si>
    <t>Verify that Sync Status is updated to "Success" in NetSuite Fulfillment Status Record.</t>
  </si>
  <si>
    <t>Verify NS-SFDC Sync Status Updated to "Success"</t>
  </si>
  <si>
    <t>1.NS-SFDC Sync Status = "Success"
2. Error Msg should not populate</t>
  </si>
  <si>
    <r>
      <rPr>
        <rFont val="Calibri"/>
        <color rgb="FF1155CC"/>
        <u/>
      </rPr>
      <t>PRDOPS-413</t>
    </r>
  </si>
  <si>
    <t>SFDC</t>
  </si>
  <si>
    <t>PRDOPS-413-TC-001</t>
  </si>
  <si>
    <t>TC_Sync_001_QE_StandardSync</t>
  </si>
  <si>
    <t>Verify that Opportunity and Opportunity Line updates successfully sync to Bookings, BLI, and Splits during the standard QE period.</t>
  </si>
  <si>
    <t>The updated values from the Opportunity and Opportunity Lines are successfully and accurately synced to the corresponding Booking, BLI, and Booking Splits.</t>
  </si>
  <si>
    <t>Uma Mahesh</t>
  </si>
  <si>
    <t>Yes</t>
  </si>
  <si>
    <t>Partially Automated</t>
  </si>
  <si>
    <t>PRDOPS-413-TC-002</t>
  </si>
  <si>
    <t>TC_Sync_002_QE_DebookingSync for Amount Based_Full</t>
  </si>
  <si>
    <t>Verify that Debooking actions trigger correct updates to Bookings during the standard QE period.</t>
  </si>
  <si>
    <t>The Debooking scenario is successfully processed, and the negative/adjustment values are accurately synced to the corresponding Booking, BLI, and Booking Splits.</t>
  </si>
  <si>
    <t>PRDOPS-413-TC-003</t>
  </si>
  <si>
    <t>TC_Sync_003_QE_DebookingSync for Line Item Based_Partial</t>
  </si>
  <si>
    <t>PRDOPS-413-TC-004</t>
  </si>
  <si>
    <t>TC_Sync_004_QEPlus1_5PM_Sync</t>
  </si>
  <si>
    <t>Verify that Opportunity updates successfully sync on QE+1 day at 5:00 PM PST/PDT.</t>
  </si>
  <si>
    <t>The updates made at 5:00 PM PST/PDT are successfully synced to the corresponding Booking, BLI, and Booking Splits.</t>
  </si>
  <si>
    <t>PRDOPS-413-TC-005</t>
  </si>
  <si>
    <t>TC_Sync_005_QEPlus1_6PM_CornerCase_Sync</t>
  </si>
  <si>
    <t>Verify the corner case where updates made exactly at the 6:00 PM PST/PDT cutoff on QE+1 sync within the following 15 minutes.</t>
  </si>
  <si>
    <t>The changes are successfully synced to the corresponding Booking, BLI, and Booking Splits within a 15-minute window after the 6:00 PM save action.</t>
  </si>
  <si>
    <t>PRDOPS-413-TC-006</t>
  </si>
  <si>
    <t>TC_Sync_006_QEPlus1_Debooking_BeforeCutoff</t>
  </si>
  <si>
    <t>Verify that Debooking actions successfully sync on QE+1 day prior to the 6:00 PM PST/PDT cutoff.</t>
  </si>
  <si>
    <t>The Debooking action successfully syncs, and the adjustment Booking, BLI, and Splits are accurately reflected before the end of business hours.</t>
  </si>
  <si>
    <t>PRDOPS-413-TC-007</t>
  </si>
  <si>
    <t>TC_Sync_007_QEPlus1_8PM_FrozenSync</t>
  </si>
  <si>
    <t>Verify that Booking sync is frozen and no updates occur for modifications made after the end of business hours (e.g., 8:00 PM PST/PDT) on QE+1.</t>
  </si>
  <si>
    <t>The Booking sync is completely frozen. No updates occur to the Booking, Booking Splits, or BLI. The Booking retains its previous values.</t>
  </si>
  <si>
    <t>PRDOPS-413-TC-008</t>
  </si>
  <si>
    <t>TC_Sync_008_QEPlus1_Debooking_Frozen</t>
  </si>
  <si>
    <t>Verify that Debooking actions initiated after the end of business hours (e.g., 8:00 PM PST/PDT) on QE+1 do not sync to the frozen Bookings.</t>
  </si>
  <si>
    <t>The Booking sync is frozen. The Debooking adjustments do not sync to or alter the frozen Booking, Booking Splits, or BLI.</t>
  </si>
  <si>
    <t>PRDOPS-477_TC-01</t>
  </si>
  <si>
    <r>
      <rPr>
        <rFont val="Arial"/>
        <color theme="1"/>
      </rPr>
      <t xml:space="preserve">Verify If the </t>
    </r>
    <r>
      <rPr>
        <rFont val="Arial"/>
        <b/>
        <color theme="1"/>
      </rPr>
      <t xml:space="preserve">"Booked By" </t>
    </r>
    <r>
      <rPr>
        <rFont val="Arial"/>
        <color theme="1"/>
      </rPr>
      <t xml:space="preserve">field is empty and the </t>
    </r>
    <r>
      <rPr>
        <rFont val="Arial"/>
        <b/>
        <color theme="1"/>
      </rPr>
      <t>"Revised By"</t>
    </r>
    <r>
      <rPr>
        <rFont val="Arial"/>
        <color theme="1"/>
      </rPr>
      <t xml:space="preserve"> field is not empty,then OM users (OM Manager) except the Revised user should be able to approve the order for Non-EDI.</t>
    </r>
  </si>
  <si>
    <r>
      <rPr>
        <rFont val="Arial"/>
        <color theme="1"/>
      </rPr>
      <t xml:space="preserve">Verify If the </t>
    </r>
    <r>
      <rPr>
        <rFont val="Arial"/>
        <b/>
        <color theme="1"/>
      </rPr>
      <t xml:space="preserve">"Booked By" </t>
    </r>
    <r>
      <rPr>
        <rFont val="Arial"/>
        <color theme="1"/>
      </rPr>
      <t xml:space="preserve">field is empty and the </t>
    </r>
    <r>
      <rPr>
        <rFont val="Arial"/>
        <b/>
        <color theme="1"/>
      </rPr>
      <t>"Revised By"</t>
    </r>
    <r>
      <rPr>
        <rFont val="Arial"/>
        <color theme="1"/>
      </rPr>
      <t xml:space="preserve"> field is not empty,then OM users (OM Manager) except the Revised user should be able to approve the order for Non-EDI.</t>
    </r>
  </si>
  <si>
    <t>When the "Booked By" field is empty and the "Revised By" field is not empty,then OM users (OM Manager) except the Revised user should be able to approve the order.</t>
  </si>
  <si>
    <t>Sai Krishna</t>
  </si>
  <si>
    <t>PRDOPS-477_TC-02</t>
  </si>
  <si>
    <t xml:space="preserve">Verify If the "Booked By" field is empty and the "Revised By" field is empty,then OM users (OM Manager) except the Revised user should be able to approve the order for Non-EDI.
</t>
  </si>
  <si>
    <t xml:space="preserve">When the "Booked By" field is empty and the "Revised By" field is empty,then OM users (OM Manager) except the Revised user should be able to approve the order for Non-EDI.
</t>
  </si>
  <si>
    <t>PRDOPS-477_TC-03</t>
  </si>
  <si>
    <r>
      <rPr>
        <rFont val="Arial"/>
        <color theme="1"/>
      </rPr>
      <t xml:space="preserve">Verify if the </t>
    </r>
    <r>
      <rPr>
        <rFont val="Arial"/>
        <b/>
        <color theme="1"/>
      </rPr>
      <t>"Booked By"</t>
    </r>
    <r>
      <rPr>
        <rFont val="Arial"/>
        <color theme="1"/>
      </rPr>
      <t xml:space="preserve"> field is not empty and the assigned booker captured in the Booked by field then the Booker Can't be able to Approve the Order in NS for Non-EDI.</t>
    </r>
  </si>
  <si>
    <r>
      <rPr>
        <rFont val="Arial"/>
        <color theme="1"/>
      </rPr>
      <t xml:space="preserve">Verify if the </t>
    </r>
    <r>
      <rPr>
        <rFont val="Arial"/>
        <b/>
        <color theme="1"/>
      </rPr>
      <t>"Booked By"</t>
    </r>
    <r>
      <rPr>
        <rFont val="Arial"/>
        <color theme="1"/>
      </rPr>
      <t xml:space="preserve"> field is not empty and the assigned booker captured in the Booked by field then the Booker Can't be able to Approve the Order in NS for Non-EDI.</t>
    </r>
  </si>
  <si>
    <r>
      <rPr>
        <rFont val="Arial"/>
        <color theme="1"/>
      </rPr>
      <t xml:space="preserve">When the </t>
    </r>
    <r>
      <rPr>
        <rFont val="Arial"/>
        <b/>
        <color theme="1"/>
      </rPr>
      <t xml:space="preserve">"Booked By" </t>
    </r>
    <r>
      <rPr>
        <rFont val="Arial"/>
        <color theme="1"/>
      </rPr>
      <t>field is not empty and the assigned booker captured in the Booked by field then the Booker Can't be able to Approve the Order in NS.</t>
    </r>
  </si>
  <si>
    <t>PRDOPS-477_TC-04</t>
  </si>
  <si>
    <r>
      <rPr>
        <rFont val="Arial"/>
        <color theme="1"/>
      </rPr>
      <t xml:space="preserve">Verify if the </t>
    </r>
    <r>
      <rPr>
        <rFont val="Arial"/>
        <b/>
        <color theme="1"/>
      </rPr>
      <t>"Revised By"</t>
    </r>
    <r>
      <rPr>
        <rFont val="Arial"/>
        <color theme="1"/>
      </rPr>
      <t xml:space="preserve"> field is not empty and the assigned Reviser captured in the Revised by field then the Revised by user Can't be able to Approve the Order in NS for Non-EDI.</t>
    </r>
  </si>
  <si>
    <r>
      <rPr>
        <rFont val="Arial"/>
        <color theme="1"/>
      </rPr>
      <t xml:space="preserve">Verify if the </t>
    </r>
    <r>
      <rPr>
        <rFont val="Arial"/>
        <b/>
        <color theme="1"/>
      </rPr>
      <t>"Revised By"</t>
    </r>
    <r>
      <rPr>
        <rFont val="Arial"/>
        <color theme="1"/>
      </rPr>
      <t xml:space="preserve"> field is not empty and the assigned Reviser captured in the Revised by field then the Revised by user Can't be able to Approve the Order in NS for Non-EDI.</t>
    </r>
  </si>
  <si>
    <r>
      <rPr>
        <rFont val="Arial"/>
        <color theme="1"/>
      </rPr>
      <t xml:space="preserve">When the </t>
    </r>
    <r>
      <rPr>
        <rFont val="Arial"/>
        <b/>
        <color theme="1"/>
      </rPr>
      <t>"Revised By"</t>
    </r>
    <r>
      <rPr>
        <rFont val="Arial"/>
        <color theme="1"/>
      </rPr>
      <t xml:space="preserve"> field is not empty and the assigned Reviser captured in the Revised by field then the Revised by user Can't be able to Approve the Order in NS.</t>
    </r>
  </si>
  <si>
    <t>PRDOPS-477_TC-05</t>
  </si>
  <si>
    <r>
      <rPr>
        <rFont val="Arial"/>
        <color theme="1"/>
      </rPr>
      <t xml:space="preserve">Verify if the </t>
    </r>
    <r>
      <rPr>
        <rFont val="Arial"/>
        <b/>
        <color theme="1"/>
      </rPr>
      <t>"Booked By"</t>
    </r>
    <r>
      <rPr>
        <rFont val="Arial"/>
        <color theme="1"/>
      </rPr>
      <t xml:space="preserve"> field is not empty and the assigned booker captured in the Booked by field then the Booker Can't be able to uncheck the approval hold check box on the order</t>
    </r>
  </si>
  <si>
    <r>
      <rPr>
        <rFont val="Arial"/>
        <color theme="1"/>
      </rPr>
      <t xml:space="preserve">Verify if the </t>
    </r>
    <r>
      <rPr>
        <rFont val="Arial"/>
        <b/>
        <color theme="1"/>
      </rPr>
      <t>"Booked By"</t>
    </r>
    <r>
      <rPr>
        <rFont val="Arial"/>
        <color theme="1"/>
      </rPr>
      <t xml:space="preserve"> field is not empty and the assigned booker captured in the Booked by field then the Booker Can't be able to uncheck the approval hold check box on the order</t>
    </r>
  </si>
  <si>
    <r>
      <rPr>
        <rFont val="Arial"/>
        <color theme="1"/>
      </rPr>
      <t>When the</t>
    </r>
    <r>
      <rPr>
        <rFont val="Arial"/>
        <b/>
        <color theme="1"/>
      </rPr>
      <t xml:space="preserve"> "Booked By" </t>
    </r>
    <r>
      <rPr>
        <rFont val="Arial"/>
        <color theme="1"/>
      </rPr>
      <t>field is not empty and the assigned booker captured in the Booked by field then the Booker Can't be able to uncheck the approval hold check box on the order</t>
    </r>
  </si>
  <si>
    <t>PRDOPS-477_TC-06</t>
  </si>
  <si>
    <r>
      <rPr>
        <rFont val="Arial"/>
        <color theme="1"/>
      </rPr>
      <t>Verify if the "</t>
    </r>
    <r>
      <rPr>
        <rFont val="Arial"/>
        <b/>
        <color theme="1"/>
      </rPr>
      <t>Booked By"</t>
    </r>
    <r>
      <rPr>
        <rFont val="Arial"/>
        <color theme="1"/>
      </rPr>
      <t xml:space="preserve"> field is not empty &amp; Booker is not in the "</t>
    </r>
    <r>
      <rPr>
        <rFont val="Arial"/>
        <b/>
        <color theme="1"/>
      </rPr>
      <t>Revised by"</t>
    </r>
    <r>
      <rPr>
        <rFont val="Arial"/>
        <color theme="1"/>
      </rPr>
      <t xml:space="preserve"> field then Booker Can't be able to Approve the Order &amp; Can't be able to uncheck the Approval hold checkbox on the Order.</t>
    </r>
  </si>
  <si>
    <r>
      <rPr>
        <rFont val="Arial"/>
        <color theme="1"/>
      </rPr>
      <t>Verify if the "</t>
    </r>
    <r>
      <rPr>
        <rFont val="Arial"/>
        <b/>
        <color theme="1"/>
      </rPr>
      <t>Booked By"</t>
    </r>
    <r>
      <rPr>
        <rFont val="Arial"/>
        <color theme="1"/>
      </rPr>
      <t xml:space="preserve"> field is not empty &amp; Booker is not in the "</t>
    </r>
    <r>
      <rPr>
        <rFont val="Arial"/>
        <b/>
        <color theme="1"/>
      </rPr>
      <t>Revised by"</t>
    </r>
    <r>
      <rPr>
        <rFont val="Arial"/>
        <color theme="1"/>
      </rPr>
      <t xml:space="preserve"> field then Booker Can't be able to Approve the Order &amp; Can't be able to uncheck the Approval hold checkbox on the Order.</t>
    </r>
  </si>
  <si>
    <t>When the "Booked By" field is not empty &amp; Booker is not in the "Revised by" field then Booker Can't be able to Approve the Order &amp; Can't be able to uncheck the Approval hold checkbox on the Order.</t>
  </si>
  <si>
    <t>PRDOPS-477_TC-07</t>
  </si>
  <si>
    <r>
      <rPr>
        <rFont val="Arial"/>
        <color theme="1"/>
      </rPr>
      <t>Verify if the Second User updates the Order then "</t>
    </r>
    <r>
      <rPr>
        <rFont val="Arial"/>
        <b/>
        <color theme="1"/>
      </rPr>
      <t>Submitter Email id"</t>
    </r>
    <r>
      <rPr>
        <rFont val="Arial"/>
        <color theme="1"/>
      </rPr>
      <t xml:space="preserve"> should be captured with the second person email id &amp; Revised by should be captured his name.</t>
    </r>
  </si>
  <si>
    <r>
      <rPr>
        <rFont val="Arial"/>
        <color theme="1"/>
      </rPr>
      <t>Verify if the Second User updates the Order then "</t>
    </r>
    <r>
      <rPr>
        <rFont val="Arial"/>
        <b/>
        <color theme="1"/>
      </rPr>
      <t>Submitter Email id"</t>
    </r>
    <r>
      <rPr>
        <rFont val="Arial"/>
        <color theme="1"/>
      </rPr>
      <t xml:space="preserve"> should be captured with the second person email id &amp; Revised by should be captured his name.</t>
    </r>
  </si>
  <si>
    <r>
      <rPr>
        <rFont val="Arial"/>
        <color theme="1"/>
      </rPr>
      <t>When the Second person updates the Order then his name will capture in the Revised by. 
Now "</t>
    </r>
    <r>
      <rPr>
        <rFont val="Arial"/>
        <b/>
        <color theme="1"/>
      </rPr>
      <t>Booker by</t>
    </r>
    <r>
      <rPr>
        <rFont val="Arial"/>
        <color theme="1"/>
      </rPr>
      <t>" &amp; "</t>
    </r>
    <r>
      <rPr>
        <rFont val="Arial"/>
        <b/>
        <color theme="1"/>
      </rPr>
      <t>Revised by</t>
    </r>
    <r>
      <rPr>
        <rFont val="Arial"/>
        <color theme="1"/>
      </rPr>
      <t>" both can't be able to approve the Order and Approval Hold button.</t>
    </r>
  </si>
  <si>
    <t>PRDOPS-477_TC-08</t>
  </si>
  <si>
    <r>
      <rPr>
        <rFont val="Arial"/>
        <color theme="1"/>
      </rPr>
      <t>Verify if the Third User updates the Order then "</t>
    </r>
    <r>
      <rPr>
        <rFont val="Arial"/>
        <b/>
        <color theme="1"/>
      </rPr>
      <t>Submitter Email id"</t>
    </r>
    <r>
      <rPr>
        <rFont val="Arial"/>
        <color theme="1"/>
      </rPr>
      <t xml:space="preserve"> should be captured with the second &amp; Third person email id's &amp; All Revised by should be captured his name.</t>
    </r>
  </si>
  <si>
    <r>
      <rPr>
        <rFont val="Arial"/>
        <color theme="1"/>
      </rPr>
      <t>Verify if the Third User updates the Order then "</t>
    </r>
    <r>
      <rPr>
        <rFont val="Arial"/>
        <b/>
        <color theme="1"/>
      </rPr>
      <t>Submitter Email id"</t>
    </r>
    <r>
      <rPr>
        <rFont val="Arial"/>
        <color theme="1"/>
      </rPr>
      <t xml:space="preserve"> should be captured with the second &amp; Third person email id's &amp; All Revised by should be captured his name.</t>
    </r>
  </si>
  <si>
    <r>
      <rPr>
        <rFont val="Arial"/>
        <color theme="1"/>
      </rPr>
      <t>When the Third person updates the Order then his name will capture in the Revised by. 
Now "</t>
    </r>
    <r>
      <rPr>
        <rFont val="Arial"/>
        <b/>
        <color theme="1"/>
      </rPr>
      <t>Booker by</t>
    </r>
    <r>
      <rPr>
        <rFont val="Arial"/>
        <color theme="1"/>
      </rPr>
      <t>" &amp; All "</t>
    </r>
    <r>
      <rPr>
        <rFont val="Arial"/>
        <b/>
        <color theme="1"/>
      </rPr>
      <t>Revised by</t>
    </r>
    <r>
      <rPr>
        <rFont val="Arial"/>
        <color theme="1"/>
      </rPr>
      <t>" can't be able to approve the Order and Approval Hold button.</t>
    </r>
  </si>
  <si>
    <t>PRDOPS-477_TC-09</t>
  </si>
  <si>
    <t>Verify the Sync Timing issue by Updating the Same Order at the Sametime with different users. The Changes should sync from SFDC to NS.</t>
  </si>
  <si>
    <t>When the User Sync the Same Order at the Sametime with different users then the Changes should sync from SFDC to NS.</t>
  </si>
  <si>
    <t>PRDOPS-477_TC-10</t>
  </si>
  <si>
    <t xml:space="preserve">Verify when the Order is cloned then then “Booked by” &amp; “Revised by” field values should copy from Original Order to Cloned Order.
</t>
  </si>
  <si>
    <t>Verify when the Order is cloned then then “Booked by” &amp; “Revised by” field values should copy from Original Order to Cloned Order.</t>
  </si>
  <si>
    <t>When the Order is cloned then then “Booked by” &amp; “Revised by” field values should copy from Original Order to Cloned Order.</t>
  </si>
  <si>
    <t>PRDOPS-477_TC-11</t>
  </si>
  <si>
    <r>
      <rPr>
        <rFont val="Arial"/>
        <color theme="1"/>
      </rPr>
      <t xml:space="preserve">Verify If the </t>
    </r>
    <r>
      <rPr>
        <rFont val="Arial"/>
        <b/>
        <color theme="1"/>
      </rPr>
      <t xml:space="preserve">"Booked By" </t>
    </r>
    <r>
      <rPr>
        <rFont val="Arial"/>
        <color theme="1"/>
      </rPr>
      <t xml:space="preserve">field is empty and the </t>
    </r>
    <r>
      <rPr>
        <rFont val="Arial"/>
        <b/>
        <color theme="1"/>
      </rPr>
      <t>"Revised By"</t>
    </r>
    <r>
      <rPr>
        <rFont val="Arial"/>
        <color theme="1"/>
      </rPr>
      <t xml:space="preserve"> field is not empty,then OM users (OM Manager) except the Revised user should be able to approve the order for EDI.</t>
    </r>
  </si>
  <si>
    <r>
      <rPr>
        <rFont val="Arial"/>
        <color theme="1"/>
      </rPr>
      <t xml:space="preserve">Verify If the </t>
    </r>
    <r>
      <rPr>
        <rFont val="Arial"/>
        <b/>
        <color theme="1"/>
      </rPr>
      <t xml:space="preserve">"Booked By" </t>
    </r>
    <r>
      <rPr>
        <rFont val="Arial"/>
        <color theme="1"/>
      </rPr>
      <t xml:space="preserve">field is empty and the </t>
    </r>
    <r>
      <rPr>
        <rFont val="Arial"/>
        <b/>
        <color theme="1"/>
      </rPr>
      <t>"Revised By"</t>
    </r>
    <r>
      <rPr>
        <rFont val="Arial"/>
        <color theme="1"/>
      </rPr>
      <t xml:space="preserve"> field is not empty,then OM users (OM Manager) except the Revised user should be able to approve the order for EDI.</t>
    </r>
  </si>
  <si>
    <t>PRDOPS-477_TC-12</t>
  </si>
  <si>
    <r>
      <rPr>
        <rFont val="Arial"/>
        <color theme="1"/>
      </rPr>
      <t xml:space="preserve">Verify if the </t>
    </r>
    <r>
      <rPr>
        <rFont val="Arial"/>
        <b/>
        <color theme="1"/>
      </rPr>
      <t>"Booked By"</t>
    </r>
    <r>
      <rPr>
        <rFont val="Arial"/>
        <color theme="1"/>
      </rPr>
      <t xml:space="preserve"> field is not empty and the assigned booker captured in the Booked by field then the Booker Can't be able to Approve the Order in NS for EDI.</t>
    </r>
  </si>
  <si>
    <r>
      <rPr>
        <rFont val="Arial"/>
        <color theme="1"/>
      </rPr>
      <t xml:space="preserve">Verify if the </t>
    </r>
    <r>
      <rPr>
        <rFont val="Arial"/>
        <b/>
        <color theme="1"/>
      </rPr>
      <t>"Booked By"</t>
    </r>
    <r>
      <rPr>
        <rFont val="Arial"/>
        <color theme="1"/>
      </rPr>
      <t xml:space="preserve"> field is not empty and the assigned booker captured in the Booked by field then the Booker Can't be able to Approve the Order in NS for EDI.</t>
    </r>
  </si>
  <si>
    <r>
      <rPr>
        <rFont val="Arial"/>
        <color theme="1"/>
      </rPr>
      <t xml:space="preserve">When the </t>
    </r>
    <r>
      <rPr>
        <rFont val="Arial"/>
        <b/>
        <color theme="1"/>
      </rPr>
      <t xml:space="preserve">"Booked By" </t>
    </r>
    <r>
      <rPr>
        <rFont val="Arial"/>
        <color theme="1"/>
      </rPr>
      <t>field is not empty and the assigned booker captured in the Booked by field then the Booker Can't be able to Approve the Order in NS.</t>
    </r>
  </si>
  <si>
    <t>PRDOPS-477_TC-13</t>
  </si>
  <si>
    <t xml:space="preserve">Verify If the "Booked By" field is empty and the "Revised By" field is not empty,then OM users (OM Manager) except the Revised user should be able to approve the order for EDI.
</t>
  </si>
  <si>
    <t xml:space="preserve">Verify If the "Booked By" field is empty and the "Revised By" field is not empty,then OM users (OM Manager) except the Revised user should be able to approve the order for EDI.
</t>
  </si>
  <si>
    <t xml:space="preserve">When the "Booked By" field is empty and the "Revised By" field is not empty,then OM users (OM Manager) except the Revised user should be able to approve the order for EDI.
</t>
  </si>
  <si>
    <t>PRDOPS-477_TC-14</t>
  </si>
  <si>
    <t xml:space="preserve">Verify the Email verification if the Booked by user Email id is not present in NS.
</t>
  </si>
  <si>
    <t xml:space="preserve">Verify the Email verification if the Booked by user Email id is not present in NS.
</t>
  </si>
  <si>
    <t>The Email verification should be the Booked by user Email id is not present in NS.</t>
  </si>
  <si>
    <r>
      <rPr>
        <rFont val="Calibri"/>
        <color rgb="FF1155CC"/>
        <u/>
      </rPr>
      <t>PRDOPS-470</t>
    </r>
  </si>
  <si>
    <t>PRDOPS-470_TC-01</t>
  </si>
  <si>
    <t xml:space="preserve">Verify the Success Report Should be created with “ROSM Stage 6 Automation Success Measurement” and verify the Calculation in the Report.
</t>
  </si>
  <si>
    <t xml:space="preserve">Verify the Success Report Should be created with “ROSM Stage 6 Automation Success Measurement” and verify the Calculation in the Report.
</t>
  </si>
  <si>
    <t>The Success Report Should be created with “ROSM Stage 6 Automation Success Measurement” and verify the Calculation in the Report.</t>
  </si>
  <si>
    <t>Yet To Automate</t>
  </si>
  <si>
    <t>PRDOPS-470_TC-02</t>
  </si>
  <si>
    <t>Verify the Success Report Records &amp; Success % when the New Renewal EDI Opportunity created and moved to Stage 6 through Automation.</t>
  </si>
  <si>
    <t>The Success Report Records &amp; Success % when the New Renewal EDI Opportunity created and moved to Stage 6 through Automation.</t>
  </si>
  <si>
    <t>PRDOPS-470_TC-03</t>
  </si>
  <si>
    <t xml:space="preserve">Verify the Success Report Records &amp; Success % when the New Renewal PO PDF Opportunity created and moved to Stage 6 through Automation.
</t>
  </si>
  <si>
    <t xml:space="preserve">Verify the Success Report Records &amp; Success % when the New Renewal PO PDF Opportunity created and moved to Stage 6 through Automation.
</t>
  </si>
  <si>
    <t>The Success Report Records &amp; Success % when the New Renewal PO PDF Opportunity created and moved to Stage 6 through Automation.</t>
  </si>
  <si>
    <t>PRDOPS-470_TC-04</t>
  </si>
  <si>
    <t xml:space="preserve">Verify the Success Report Records &amp; Success % when the New Renewal Non-EDI Opportunity created and moved to Stage 6 through Automation.
</t>
  </si>
  <si>
    <t xml:space="preserve">Verify the Success Report Records &amp; Success % when the New Renewal Non-EDI Opportunity created and moved to Stage 6 through Automation.
</t>
  </si>
  <si>
    <t>The Success Report Records &amp; Success % when the New Renewal Non-EDI Opportunity created and moved to Stage 6 through Automation.</t>
  </si>
  <si>
    <t>PRDOPS-470_TC-05</t>
  </si>
  <si>
    <t xml:space="preserve">Verify the Success Report Records &amp; Success % when the New Renewal Non-EDI Opportunity created and moved to Stage 6 Manually.
</t>
  </si>
  <si>
    <t xml:space="preserve">Verify the Success Report Records &amp; Success % when the New Renewal Non-EDI Opportunity created and moved to Stage 6 Manually.
</t>
  </si>
  <si>
    <t>The Success Report Records &amp; Success % when the New Renewal Non-EDI Opportunity created and moved to Stage 6 Manually.</t>
  </si>
  <si>
    <t>PRDOPS-470_TC-06</t>
  </si>
  <si>
    <t xml:space="preserve">Verify the Success Report Records &amp; Success % when the Quote update failed. (Quote is not Primary &amp; not Approved).
</t>
  </si>
  <si>
    <t xml:space="preserve">Verify the Success Report Records &amp; Success % when the Quote update failed. (Quote is not Primary &amp; not Approved).
</t>
  </si>
  <si>
    <t>The Success Report Records &amp; Success % when the Quote update failed. (Quote is not Primary &amp; not Approved).</t>
  </si>
  <si>
    <t>PRDOPS-470_TC-07</t>
  </si>
  <si>
    <t xml:space="preserve">Verify the Success Report Records &amp; Success % &amp; Failure report when the New Opportunity Failed to move to Stage 6 through Automation.
</t>
  </si>
  <si>
    <t>The calculation should work as below formula
Success % = ({Total Renewal Opportunities moved to Stage 6 by Automation}%{Total Renewal Opportunities NOT at Stage 6 when PO was received}) * 100</t>
  </si>
  <si>
    <t>PRDOPS-470_TC-08</t>
  </si>
  <si>
    <t xml:space="preserve">Verify the Filter conditions which are present in the Success Report
</t>
  </si>
  <si>
    <t xml:space="preserve">Verify the Filter conditions which are present in the Success Report
</t>
  </si>
  <si>
    <t>The Filter conditions which are present in the Success Report should work</t>
  </si>
  <si>
    <t>PRDOPS-470_TC-09</t>
  </si>
  <si>
    <t xml:space="preserve">Verify the Failure Report which is updated with the “SS6 Automation Failure for Renewal Opp”.
</t>
  </si>
  <si>
    <t xml:space="preserve">Verify the Failure Report which is updated with the “SS6 Automation Failure for Renewal Opp”.
</t>
  </si>
  <si>
    <t>The Failure Report should be updated with the “SS6 Automation Failure for Renewal Opp”.</t>
  </si>
  <si>
    <t>PRDOPS-470_TC-10</t>
  </si>
  <si>
    <t xml:space="preserve">Verify the Filter Conditions for the Failure Report
</t>
  </si>
  <si>
    <t>The Filter conditions which are present in the Failure Report should work</t>
  </si>
  <si>
    <r>
      <rPr>
        <rFont val="Calibri"/>
        <color rgb="FF1155CC"/>
        <u/>
      </rPr>
      <t>PRDOPS-23</t>
    </r>
  </si>
  <si>
    <t>PRDOPS-23_TC-01</t>
  </si>
  <si>
    <r>
      <rPr>
        <rFont val="Arial"/>
        <color theme="1"/>
      </rPr>
      <t>Verify the Auto Order Submission for Sub-type = "</t>
    </r>
    <r>
      <rPr>
        <rFont val="Arial"/>
        <b/>
        <color theme="1"/>
      </rPr>
      <t>GC OnDemand"</t>
    </r>
    <r>
      <rPr>
        <rFont val="Arial"/>
        <color theme="1"/>
      </rPr>
      <t xml:space="preserve"> and when the Order is created then it should submit automtically without any hold </t>
    </r>
  </si>
  <si>
    <r>
      <rPr>
        <rFont val="Arial"/>
        <color theme="1"/>
      </rPr>
      <t>Verify the Auto Order Submission for Sub-type = "</t>
    </r>
    <r>
      <rPr>
        <rFont val="Arial"/>
        <b/>
        <color theme="1"/>
      </rPr>
      <t>GC OnDemand"</t>
    </r>
    <r>
      <rPr>
        <rFont val="Arial"/>
        <color theme="1"/>
      </rPr>
      <t xml:space="preserve"> and when the Order is created then it should submit automtically without any hold </t>
    </r>
  </si>
  <si>
    <t xml:space="preserve">When the Order is Auto Submission for Sub-type = "GC OnDemand" and when the Order is created then it should submit automtically without any hold </t>
  </si>
  <si>
    <t>PRDOPS-23_TC-02</t>
  </si>
  <si>
    <t>Verify the GC OnDemand Order is Auto Submitted &amp; Order is Shipped then Overage Orders should create automatically.</t>
  </si>
  <si>
    <t>When the GC OnDemand Order is Auto Submitted &amp; Order is Shipped then Overage Orders should create automatically.</t>
  </si>
  <si>
    <t>PRDOPS-23_TC-03</t>
  </si>
  <si>
    <r>
      <rPr>
        <rFont val="Arial"/>
        <color theme="1"/>
      </rPr>
      <t>Verify the Manual Order Submission for Sub-type = "</t>
    </r>
    <r>
      <rPr>
        <rFont val="Arial"/>
        <b/>
        <color theme="1"/>
      </rPr>
      <t>GC OnDemand</t>
    </r>
    <r>
      <rPr>
        <rFont val="Arial"/>
        <color theme="1"/>
      </rPr>
      <t>" &amp; Subscription Term on the Order Product is blank and the Subscription Pricing is populated and When the OM user clicks on ‘Submit Order’ button then the validation “</t>
    </r>
    <r>
      <rPr>
        <rFont val="Arial"/>
        <b/>
        <color theme="1"/>
      </rPr>
      <t>Subscription Term must be stamped on Order Product in order to submit Order</t>
    </r>
    <r>
      <rPr>
        <rFont val="Arial"/>
        <color theme="1"/>
      </rPr>
      <t>” is bypassed and the order is submitted successfully.</t>
    </r>
  </si>
  <si>
    <r>
      <rPr>
        <rFont val="Arial"/>
        <color theme="1"/>
      </rPr>
      <t>Verify the Manual Order Submission for Sub-type = "</t>
    </r>
    <r>
      <rPr>
        <rFont val="Arial"/>
        <b/>
        <color theme="1"/>
      </rPr>
      <t>GC OnDemand</t>
    </r>
    <r>
      <rPr>
        <rFont val="Arial"/>
        <color theme="1"/>
      </rPr>
      <t>" &amp; Subscription Term on the Order Product is blank and the Subscription Pricing is populated and When the OM user clicks on ‘Submit Order’ button then the validation “</t>
    </r>
    <r>
      <rPr>
        <rFont val="Arial"/>
        <b/>
        <color theme="1"/>
      </rPr>
      <t>Subscription Term must be stamped on Order Product in order to submit Order</t>
    </r>
    <r>
      <rPr>
        <rFont val="Arial"/>
        <color theme="1"/>
      </rPr>
      <t>” is bypassed and the order is submitted successfully.</t>
    </r>
  </si>
  <si>
    <t>When the Manual Order Submission for Sub-type = "GC OnDemand" &amp; Subscription Term on the Order Product is blank and the Subscription Pricing is populated and When the OM user clicks on ‘Submit Order’ button then the validation “Subscription Term must be stamped on Order Product in order to submit Order” is bypassed and the order is submitted successfully.</t>
  </si>
  <si>
    <t>PRDOPS-23_TC-04</t>
  </si>
  <si>
    <r>
      <rPr>
        <rFont val="Arial"/>
        <color theme="1"/>
      </rPr>
      <t xml:space="preserve">Verify the Order Submission when Type = GC OnDemand and Order went On Hold as the maximum commit value were blank on the overage orders and when the OM user go to the </t>
    </r>
    <r>
      <rPr>
        <rFont val="Arial"/>
        <b/>
        <color theme="1"/>
      </rPr>
      <t xml:space="preserve">“Overage Orders with Maximum Commit values are Blank” </t>
    </r>
    <r>
      <rPr>
        <rFont val="Arial"/>
        <color theme="1"/>
      </rPr>
      <t>report then the Overage order should appear in the report.</t>
    </r>
  </si>
  <si>
    <r>
      <rPr>
        <rFont val="Arial"/>
        <color theme="1"/>
      </rPr>
      <t xml:space="preserve">Verify the Order Submission when Type = GC OnDemand and Order went On Hold as the maximum commit value were blank on the overage orders and when the OM user go to the </t>
    </r>
    <r>
      <rPr>
        <rFont val="Arial"/>
        <b/>
        <color theme="1"/>
      </rPr>
      <t xml:space="preserve">“Overage Orders with Maximum Commit values are Blank” </t>
    </r>
    <r>
      <rPr>
        <rFont val="Arial"/>
        <color theme="1"/>
      </rPr>
      <t>report then the Overage order should appear in the report.</t>
    </r>
  </si>
  <si>
    <r>
      <rPr>
        <rFont val="Arial"/>
        <color theme="1"/>
      </rPr>
      <t xml:space="preserve">When the Order Submission when Type = GC OnDemand and Order went On Hold as the maximum commit value were blank on the overage orders and when the OM user go to the </t>
    </r>
    <r>
      <rPr>
        <rFont val="Arial"/>
        <b/>
        <color theme="1"/>
      </rPr>
      <t>“Overage Orders with Maximum Commit values are Blank”</t>
    </r>
    <r>
      <rPr>
        <rFont val="Arial"/>
        <color theme="1"/>
      </rPr>
      <t xml:space="preserve"> report then the Overage order should appear in the report.</t>
    </r>
  </si>
  <si>
    <t>QA Summary of Story Cards:</t>
  </si>
  <si>
    <t>Track</t>
  </si>
  <si>
    <t>QA Completed</t>
  </si>
  <si>
    <t>Ready for UAT</t>
  </si>
  <si>
    <t>Savings due to Test Automaton in hrs / Sprint</t>
  </si>
  <si>
    <t>PRDOPS</t>
  </si>
  <si>
    <t>14 hr</t>
  </si>
  <si>
    <t>QA Summary of Test Cases:</t>
  </si>
  <si>
    <t>Sl No</t>
  </si>
  <si>
    <t>Story Cards</t>
  </si>
  <si>
    <t>Total no. of
Test Cases</t>
  </si>
  <si>
    <t>Execution %</t>
  </si>
  <si>
    <t>Defects</t>
  </si>
  <si>
    <t>Defect Density (%)</t>
  </si>
  <si>
    <t>Defect Leakage
(%)</t>
  </si>
  <si>
    <t>Defect Rejection Rate (%)</t>
  </si>
  <si>
    <t>QA Automation Savings in (hrs)</t>
  </si>
  <si>
    <t>Comments</t>
  </si>
  <si>
    <t>No Action</t>
  </si>
  <si>
    <t>We have used our test automation for test data creation.</t>
  </si>
  <si>
    <t>Scripting is in progress for On Demand orders.</t>
  </si>
  <si>
    <t>Total</t>
  </si>
  <si>
    <t>Other Issues/No Action</t>
  </si>
  <si>
    <t>Bug Report :</t>
  </si>
  <si>
    <t>Total Issue</t>
  </si>
  <si>
    <t>While testing the above test execution we have come across the following defects in QA Sandbox.</t>
  </si>
  <si>
    <t>Total Number of Defects</t>
  </si>
  <si>
    <t>Close</t>
  </si>
  <si>
    <t>Defect Leakage to UAT</t>
  </si>
  <si>
    <t>Defect Leakage to UAT (%)</t>
  </si>
</sst>
</file>

<file path=xl/styles.xml><?xml version="1.0" encoding="utf-8"?>
<styleSheet xmlns="http://schemas.openxmlformats.org/spreadsheetml/2006/main" xmlns:x14ac="http://schemas.microsoft.com/office/spreadsheetml/2009/9/ac" xmlns:mc="http://schemas.openxmlformats.org/markup-compatibility/2006">
  <fonts count="51">
    <font>
      <sz val="11.0"/>
      <color rgb="FF000000"/>
      <name val="Calibri"/>
      <scheme val="minor"/>
    </font>
    <font>
      <sz val="11.0"/>
      <color rgb="FF000000"/>
      <name val="Calibri"/>
    </font>
    <font>
      <b/>
      <sz val="14.0"/>
      <color rgb="FFFFFFFF"/>
      <name val="Calibri"/>
    </font>
    <font/>
    <font>
      <i/>
      <sz val="14.0"/>
      <color rgb="FFFFFFFF"/>
      <name val="Calibri"/>
    </font>
    <font>
      <b/>
      <sz val="12.0"/>
      <color rgb="FFFFF2CC"/>
      <name val="Calibri"/>
    </font>
    <font>
      <b/>
      <color theme="1"/>
      <name val="Arial"/>
    </font>
    <font>
      <b/>
      <sz val="12.0"/>
      <color rgb="FF000000"/>
      <name val="Calibri"/>
    </font>
    <font>
      <b/>
      <sz val="11.0"/>
      <color rgb="FFFFF2CC"/>
      <name val="Calibri"/>
    </font>
    <font>
      <b/>
      <sz val="11.0"/>
      <color rgb="FF000000"/>
      <name val="Calibri"/>
    </font>
    <font>
      <sz val="10.0"/>
      <color rgb="FF000000"/>
      <name val="Calibri"/>
    </font>
    <font>
      <i/>
      <sz val="10.0"/>
      <color rgb="FF000000"/>
      <name val="Calibri"/>
    </font>
    <font>
      <b/>
      <sz val="10.0"/>
      <color rgb="FF000000"/>
      <name val="Calibri"/>
    </font>
    <font>
      <sz val="10.0"/>
      <color rgb="FFFFF2CC"/>
      <name val="Calibri"/>
    </font>
    <font>
      <b/>
      <sz val="11.0"/>
      <color rgb="FFFFFFFF"/>
      <name val="Arial"/>
    </font>
    <font>
      <sz val="11.0"/>
      <color rgb="FF000000"/>
      <name val="Arial"/>
    </font>
    <font>
      <b/>
      <sz val="11.0"/>
      <color rgb="FFFFF2CC"/>
      <name val="Arial"/>
    </font>
    <font>
      <b/>
      <sz val="11.0"/>
      <color rgb="FF000000"/>
      <name val="Arial"/>
    </font>
    <font>
      <u/>
      <color rgb="FF1155CC"/>
      <name val="Calibri"/>
    </font>
    <font>
      <u/>
      <color rgb="FF1155CC"/>
      <name val="Calibri"/>
    </font>
    <font>
      <sz val="11.0"/>
      <color theme="1"/>
      <name val="Arial"/>
    </font>
    <font>
      <sz val="11.0"/>
      <color rgb="FF1155CC"/>
      <name val="Atlassian Sans"/>
    </font>
    <font>
      <color theme="1"/>
      <name val="Calibri"/>
    </font>
    <font>
      <color theme="1"/>
      <name val="Arial"/>
    </font>
    <font>
      <b/>
      <sz val="11.0"/>
      <color theme="1"/>
      <name val="Arial"/>
    </font>
    <font>
      <b/>
      <color theme="1"/>
      <name val="Calibri"/>
    </font>
    <font>
      <color theme="1"/>
      <name val="Calibri"/>
      <scheme val="minor"/>
    </font>
    <font>
      <u/>
      <sz val="12.0"/>
      <color rgb="FF1155CC"/>
      <name val="Arial"/>
    </font>
    <font>
      <sz val="9.0"/>
      <color rgb="FF171717"/>
      <name val="Arial"/>
    </font>
    <font>
      <u/>
      <sz val="12.0"/>
      <color rgb="FF1155CC"/>
      <name val="Arial"/>
    </font>
    <font>
      <u/>
      <sz val="12.0"/>
      <color rgb="FF1155CC"/>
      <name val="Arial"/>
    </font>
    <font>
      <sz val="12.0"/>
      <color theme="1"/>
      <name val="Arial"/>
    </font>
    <font>
      <b/>
      <sz val="11.0"/>
      <color theme="1"/>
      <name val="Calibri"/>
    </font>
    <font>
      <u/>
      <sz val="12.0"/>
      <color theme="1"/>
      <name val="Arial"/>
    </font>
    <font>
      <sz val="11.0"/>
      <color rgb="FF1155CC"/>
      <name val="Arial"/>
    </font>
    <font>
      <u/>
      <sz val="11.0"/>
      <color rgb="FF1155CC"/>
      <name val="Arial"/>
    </font>
    <font>
      <u/>
      <sz val="11.0"/>
      <color rgb="FF1155CC"/>
      <name val="Atlassian Sans"/>
    </font>
    <font>
      <sz val="12.0"/>
      <color rgb="FF1155CC"/>
      <name val="Arial"/>
    </font>
    <font>
      <sz val="11.0"/>
      <color theme="1"/>
      <name val="Atlassian Sans"/>
    </font>
    <font>
      <u/>
      <sz val="11.0"/>
      <color rgb="FF1155CC"/>
      <name val="Atlassian Sans"/>
    </font>
    <font>
      <u/>
      <sz val="11.0"/>
      <color rgb="FF1155CC"/>
      <name val="Arial"/>
    </font>
    <font>
      <b/>
      <sz val="11.0"/>
      <color rgb="FF222222"/>
      <name val="Arial"/>
    </font>
    <font>
      <sz val="11.0"/>
      <color theme="1"/>
      <name val="Calibri"/>
    </font>
    <font>
      <b/>
      <u/>
      <color rgb="FF000000"/>
      <name val="Arial"/>
    </font>
    <font>
      <color rgb="FF000000"/>
      <name val="Calibri"/>
    </font>
    <font>
      <b/>
      <sz val="12.0"/>
      <color rgb="FF000000"/>
      <name val="Arial"/>
    </font>
    <font>
      <u/>
      <color rgb="FF0000FF"/>
      <name val="Arial"/>
    </font>
    <font>
      <b/>
      <color rgb="FF000000"/>
      <name val="Calibri"/>
    </font>
    <font>
      <sz val="12.0"/>
      <color rgb="FF000000"/>
      <name val="Times New Roman"/>
    </font>
    <font>
      <b/>
      <sz val="12.0"/>
      <color rgb="FF000000"/>
      <name val="Times New Roman"/>
    </font>
    <font>
      <color rgb="FF000000"/>
      <name val="Arial"/>
    </font>
  </fonts>
  <fills count="19">
    <fill>
      <patternFill patternType="none"/>
    </fill>
    <fill>
      <patternFill patternType="lightGray"/>
    </fill>
    <fill>
      <patternFill patternType="solid">
        <fgColor rgb="FFFFFFFF"/>
        <bgColor rgb="FFFFFFFF"/>
      </patternFill>
    </fill>
    <fill>
      <patternFill patternType="solid">
        <fgColor rgb="FF1F4E79"/>
        <bgColor rgb="FF1F4E79"/>
      </patternFill>
    </fill>
    <fill>
      <patternFill patternType="solid">
        <fgColor rgb="FF2E75B6"/>
        <bgColor rgb="FF2E75B6"/>
      </patternFill>
    </fill>
    <fill>
      <patternFill patternType="solid">
        <fgColor rgb="FFCCCCCC"/>
        <bgColor rgb="FFCCCCCC"/>
      </patternFill>
    </fill>
    <fill>
      <patternFill patternType="solid">
        <fgColor rgb="FFD9D9D9"/>
        <bgColor rgb="FFD9D9D9"/>
      </patternFill>
    </fill>
    <fill>
      <patternFill patternType="solid">
        <fgColor rgb="FF9DC3E6"/>
        <bgColor rgb="FF9DC3E6"/>
      </patternFill>
    </fill>
    <fill>
      <patternFill patternType="solid">
        <fgColor rgb="FFCC00FF"/>
        <bgColor rgb="FFCC00FF"/>
      </patternFill>
    </fill>
    <fill>
      <patternFill patternType="solid">
        <fgColor rgb="FFD0CECE"/>
        <bgColor rgb="FFD0CECE"/>
      </patternFill>
    </fill>
    <fill>
      <patternFill patternType="solid">
        <fgColor rgb="FFBDD7EE"/>
        <bgColor rgb="FFBDD7EE"/>
      </patternFill>
    </fill>
    <fill>
      <patternFill patternType="solid">
        <fgColor rgb="FF92D050"/>
        <bgColor rgb="FF92D050"/>
      </patternFill>
    </fill>
    <fill>
      <patternFill patternType="solid">
        <fgColor rgb="FFFF0000"/>
        <bgColor rgb="FFFF0000"/>
      </patternFill>
    </fill>
    <fill>
      <patternFill patternType="solid">
        <fgColor rgb="FF70AD47"/>
        <bgColor rgb="FF70AD47"/>
      </patternFill>
    </fill>
    <fill>
      <patternFill patternType="solid">
        <fgColor rgb="FF808080"/>
        <bgColor rgb="FF808080"/>
      </patternFill>
    </fill>
    <fill>
      <patternFill patternType="solid">
        <fgColor rgb="FFF6F8F9"/>
        <bgColor rgb="FFF6F8F9"/>
      </patternFill>
    </fill>
    <fill>
      <patternFill patternType="solid">
        <fgColor rgb="FF6AA84F"/>
        <bgColor rgb="FF6AA84F"/>
      </patternFill>
    </fill>
    <fill>
      <patternFill patternType="solid">
        <fgColor rgb="FFFFFF00"/>
        <bgColor rgb="FFFFFF00"/>
      </patternFill>
    </fill>
    <fill>
      <patternFill patternType="solid">
        <fgColor rgb="FF00FFFF"/>
        <bgColor rgb="FF00FFFF"/>
      </patternFill>
    </fill>
  </fills>
  <borders count="60">
    <border/>
    <border>
      <left style="thin">
        <color rgb="FFAAAAAA"/>
      </left>
      <right/>
      <top style="thin">
        <color rgb="FFAAAAAA"/>
      </top>
      <bottom/>
    </border>
    <border>
      <left/>
      <right/>
      <top style="thin">
        <color rgb="FFAAAAAA"/>
      </top>
      <bottom/>
    </border>
    <border>
      <left/>
      <right style="thin">
        <color rgb="FFAAAAAA"/>
      </right>
      <top style="thin">
        <color rgb="FFAAAAAA"/>
      </top>
      <bottom/>
    </border>
    <border>
      <left style="thin">
        <color rgb="FFAAAAAA"/>
      </left>
      <right/>
      <top/>
      <bottom/>
    </border>
    <border>
      <left/>
      <right/>
      <top/>
      <bottom/>
    </border>
    <border>
      <left/>
      <right style="thin">
        <color rgb="FFAAAAAA"/>
      </right>
      <top/>
      <bottom/>
    </border>
    <border>
      <left style="thin">
        <color rgb="FFAAAAAA"/>
      </left>
      <right/>
      <top/>
      <bottom style="thin">
        <color rgb="FFAAAAAA"/>
      </bottom>
    </border>
    <border>
      <left/>
      <right/>
      <top/>
      <bottom style="thin">
        <color rgb="FFAAAAAA"/>
      </bottom>
    </border>
    <border>
      <left/>
      <right style="thin">
        <color rgb="FFAAAAAA"/>
      </right>
      <top/>
      <bottom style="thin">
        <color rgb="FFAAAAAA"/>
      </bottom>
    </border>
    <border>
      <left style="thin">
        <color rgb="FFAAAAAA"/>
      </left>
      <top style="thin">
        <color rgb="FFAAAAAA"/>
      </top>
      <bottom/>
    </border>
    <border>
      <top style="thin">
        <color rgb="FFAAAAAA"/>
      </top>
      <bottom/>
    </border>
    <border>
      <left/>
      <top style="thin">
        <color rgb="FFAAAAAA"/>
      </top>
      <bottom/>
    </border>
    <border>
      <right style="thin">
        <color rgb="FFAAAAAA"/>
      </right>
      <top style="thin">
        <color rgb="FFAAAAAA"/>
      </top>
      <bottom/>
    </border>
    <border>
      <left/>
      <right/>
      <top/>
      <bottom style="thin">
        <color rgb="FF2E75B6"/>
      </bottom>
    </border>
    <border>
      <left/>
      <right/>
      <top/>
    </border>
    <border>
      <left style="thin">
        <color rgb="FFAAAAAA"/>
      </left>
      <right style="thin">
        <color rgb="FF2E75B6"/>
      </right>
      <top/>
      <bottom/>
    </border>
    <border>
      <left style="thin">
        <color rgb="FF2E75B6"/>
      </left>
      <top style="thin">
        <color rgb="FF2E75B6"/>
      </top>
      <bottom style="thin">
        <color rgb="FF2E75B6"/>
      </bottom>
    </border>
    <border>
      <right style="thin">
        <color rgb="FF2E75B6"/>
      </right>
      <top style="thin">
        <color rgb="FF2E75B6"/>
      </top>
      <bottom style="thin">
        <color rgb="FF2E75B6"/>
      </bottom>
    </border>
    <border>
      <left style="thin">
        <color rgb="FF000000"/>
      </left>
      <top style="thin">
        <color rgb="FF000000"/>
      </top>
      <bottom style="thin">
        <color rgb="FF2E75B6"/>
      </bottom>
    </border>
    <border>
      <right style="thin">
        <color rgb="FF2E75B6"/>
      </right>
      <top style="thin">
        <color rgb="FF000000"/>
      </top>
      <bottom style="thin">
        <color rgb="FF2E75B6"/>
      </bottom>
    </border>
    <border>
      <left style="thin">
        <color rgb="FF2E75B6"/>
      </left>
      <right/>
      <top/>
      <bottom/>
    </border>
    <border>
      <left/>
      <top/>
      <bottom style="thin">
        <color rgb="FF2E75B6"/>
      </bottom>
    </border>
    <border>
      <top/>
      <bottom style="thin">
        <color rgb="FF2E75B6"/>
      </bottom>
    </border>
    <border>
      <right style="thin">
        <color rgb="FF2E75B6"/>
      </right>
      <top/>
      <bottom style="thin">
        <color rgb="FF2E75B6"/>
      </bottom>
    </border>
    <border>
      <left style="thin">
        <color rgb="FF2E75B6"/>
      </left>
      <top/>
      <bottom style="thin">
        <color rgb="FF2E75B6"/>
      </bottom>
    </border>
    <border>
      <left/>
      <right style="thin">
        <color rgb="FF2E75B6"/>
      </right>
      <top/>
      <bottom/>
    </border>
    <border>
      <left style="thin">
        <color rgb="FF2E75B6"/>
      </left>
      <right style="thin">
        <color rgb="FF2E75B6"/>
      </right>
      <top style="thin">
        <color rgb="FF2E75B6"/>
      </top>
      <bottom style="thin">
        <color rgb="FF2E75B6"/>
      </bottom>
    </border>
    <border>
      <left/>
      <right/>
      <top style="thin">
        <color rgb="FF2E75B6"/>
      </top>
      <bottom/>
    </border>
    <border>
      <left/>
      <right/>
      <top style="thin">
        <color rgb="FF2E75B6"/>
      </top>
      <bottom style="thin">
        <color rgb="FF4472C4"/>
      </bottom>
    </border>
    <border>
      <left/>
      <right/>
      <top/>
      <bottom style="thin">
        <color rgb="FF4472C4"/>
      </bottom>
    </border>
    <border>
      <left style="thin">
        <color rgb="FFAAAAAA"/>
      </left>
      <right style="thin">
        <color rgb="FF4472C4"/>
      </right>
      <top/>
      <bottom/>
    </border>
    <border>
      <left style="thin">
        <color rgb="FF4472C4"/>
      </left>
      <top style="thin">
        <color rgb="FF4472C4"/>
      </top>
      <bottom style="thin">
        <color rgb="FF4472C4"/>
      </bottom>
    </border>
    <border>
      <top style="thin">
        <color rgb="FF4472C4"/>
      </top>
      <bottom style="thin">
        <color rgb="FF4472C4"/>
      </bottom>
    </border>
    <border>
      <right style="thin">
        <color rgb="FF4472C4"/>
      </right>
      <top style="thin">
        <color rgb="FF4472C4"/>
      </top>
      <bottom style="thin">
        <color rgb="FF4472C4"/>
      </bottom>
    </border>
    <border>
      <left style="thin">
        <color rgb="FF4472C4"/>
      </left>
      <right/>
      <top/>
      <bottom/>
    </border>
    <border>
      <left style="thin">
        <color rgb="FF4472C4"/>
      </left>
      <top style="thin">
        <color rgb="FF4472C4"/>
      </top>
    </border>
    <border>
      <top style="thin">
        <color rgb="FF4472C4"/>
      </top>
    </border>
    <border>
      <right style="thin">
        <color rgb="FF4472C4"/>
      </right>
      <top style="thin">
        <color rgb="FF4472C4"/>
      </top>
    </border>
    <border>
      <left style="thin">
        <color rgb="FF4472C4"/>
      </left>
    </border>
    <border>
      <right style="thin">
        <color rgb="FF4472C4"/>
      </right>
    </border>
    <border>
      <left style="thin">
        <color rgb="FF4472C4"/>
      </left>
      <bottom style="thin">
        <color rgb="FF4472C4"/>
      </bottom>
    </border>
    <border>
      <bottom style="thin">
        <color rgb="FF4472C4"/>
      </bottom>
    </border>
    <border>
      <right style="thin">
        <color rgb="FF4472C4"/>
      </right>
      <bottom style="thin">
        <color rgb="FF4472C4"/>
      </bottom>
    </border>
    <border>
      <left/>
      <right/>
      <top style="thin">
        <color rgb="FF4472C4"/>
      </top>
      <bottom style="thin">
        <color rgb="FF2E75B6"/>
      </bottom>
    </border>
    <border>
      <left/>
      <right/>
      <top style="thin">
        <color rgb="FF4472C4"/>
      </top>
      <bottom/>
    </border>
    <border>
      <left style="thin">
        <color rgb="FF2E75B6"/>
      </left>
      <right/>
      <top/>
      <bottom style="thin">
        <color rgb="FF2E75B6"/>
      </bottom>
    </border>
    <border>
      <left style="thin">
        <color rgb="FF2E75B6"/>
      </left>
      <right/>
      <top style="thin">
        <color rgb="FF2E75B6"/>
      </top>
      <bottom style="thin">
        <color rgb="FF2E75B6"/>
      </bottom>
    </border>
    <border>
      <left/>
      <right style="thin">
        <color rgb="FF2E75B6"/>
      </right>
      <top style="thin">
        <color rgb="FF2E75B6"/>
      </top>
      <bottom style="thin">
        <color rgb="FF2E75B6"/>
      </bottom>
    </border>
    <border>
      <left/>
      <right style="thin">
        <color rgb="FF2E75B6"/>
      </right>
      <top style="thin">
        <color rgb="FF2E75B6"/>
      </top>
      <bottom/>
    </border>
    <border>
      <left style="thin">
        <color rgb="FF2E75B6"/>
      </left>
      <right style="thin">
        <color rgb="FF2E75B6"/>
      </right>
      <top style="thin">
        <color rgb="FF2E75B6"/>
      </top>
      <bottom/>
    </border>
    <border>
      <left style="thin">
        <color rgb="FF2E75B6"/>
      </left>
      <right/>
      <top style="thin">
        <color rgb="FF2E75B6"/>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3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0" fillId="0" fontId="1" numFmtId="0" xfId="0" applyFont="1"/>
    <xf borderId="4" fillId="2" fontId="1" numFmtId="0" xfId="0" applyBorder="1" applyFont="1"/>
    <xf borderId="5" fillId="2" fontId="1" numFmtId="0" xfId="0" applyBorder="1" applyFont="1"/>
    <xf borderId="6" fillId="2" fontId="1" numFmtId="0" xfId="0" applyBorder="1" applyFont="1"/>
    <xf borderId="7" fillId="2" fontId="1" numFmtId="0" xfId="0" applyBorder="1" applyFont="1"/>
    <xf borderId="8" fillId="2" fontId="1" numFmtId="0" xfId="0" applyBorder="1" applyFont="1"/>
    <xf borderId="9" fillId="2" fontId="1" numFmtId="0" xfId="0" applyBorder="1" applyFont="1"/>
    <xf borderId="10" fillId="3" fontId="2" numFmtId="49" xfId="0" applyAlignment="1" applyBorder="1" applyFill="1" applyFont="1" applyNumberFormat="1">
      <alignment horizontal="right" vertical="center"/>
    </xf>
    <xf borderId="11" fillId="0" fontId="3" numFmtId="0" xfId="0" applyBorder="1" applyFont="1"/>
    <xf borderId="12" fillId="3" fontId="2" numFmtId="0" xfId="0" applyAlignment="1" applyBorder="1" applyFont="1">
      <alignment horizontal="left" vertical="center"/>
    </xf>
    <xf borderId="12" fillId="3" fontId="4" numFmtId="49" xfId="0" applyAlignment="1" applyBorder="1" applyFont="1" applyNumberFormat="1">
      <alignment horizontal="center" readingOrder="0" vertical="center"/>
    </xf>
    <xf borderId="13" fillId="0" fontId="3" numFmtId="0" xfId="0" applyBorder="1" applyFont="1"/>
    <xf borderId="4" fillId="2" fontId="1" numFmtId="0" xfId="0" applyAlignment="1" applyBorder="1" applyFont="1">
      <alignment vertical="center"/>
    </xf>
    <xf borderId="14" fillId="2" fontId="1" numFmtId="0" xfId="0" applyAlignment="1" applyBorder="1" applyFont="1">
      <alignment vertical="center"/>
    </xf>
    <xf borderId="15"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16" fillId="2" fontId="1" numFmtId="0" xfId="0" applyAlignment="1" applyBorder="1" applyFont="1">
      <alignment vertical="center"/>
    </xf>
    <xf borderId="17" fillId="4" fontId="5" numFmtId="49" xfId="0" applyAlignment="1" applyBorder="1" applyFill="1" applyFont="1" applyNumberFormat="1">
      <alignment horizontal="right" shrinkToFit="0" vertical="center" wrapText="1"/>
    </xf>
    <xf borderId="18" fillId="0" fontId="3" numFmtId="0" xfId="0" applyBorder="1" applyFont="1"/>
    <xf borderId="19" fillId="5" fontId="6" numFmtId="0" xfId="0" applyAlignment="1" applyBorder="1" applyFill="1" applyFont="1">
      <alignment horizontal="center" readingOrder="0" vertical="center"/>
    </xf>
    <xf borderId="20" fillId="0" fontId="3" numFmtId="0" xfId="0" applyBorder="1" applyFont="1"/>
    <xf borderId="21" fillId="2" fontId="1" numFmtId="0" xfId="0" applyAlignment="1" applyBorder="1" applyFont="1">
      <alignment vertical="center"/>
    </xf>
    <xf borderId="17" fillId="2" fontId="7" numFmtId="0" xfId="0" applyAlignment="1" applyBorder="1" applyFont="1">
      <alignment horizontal="center" readingOrder="0" vertical="center"/>
    </xf>
    <xf borderId="22" fillId="4" fontId="8" numFmtId="49" xfId="0" applyAlignment="1" applyBorder="1" applyFont="1" applyNumberFormat="1">
      <alignment horizontal="center" shrinkToFit="0" vertical="center" wrapText="1"/>
    </xf>
    <xf borderId="23" fillId="0" fontId="3" numFmtId="0" xfId="0" applyBorder="1" applyFont="1"/>
    <xf borderId="24" fillId="0" fontId="3" numFmtId="0" xfId="0" applyBorder="1" applyFont="1"/>
    <xf borderId="25" fillId="6" fontId="9" numFmtId="9" xfId="0" applyAlignment="1" applyBorder="1" applyFill="1" applyFont="1" applyNumberFormat="1">
      <alignment horizontal="center" shrinkToFit="0" vertical="center" wrapText="1"/>
    </xf>
    <xf borderId="17" fillId="2" fontId="7" numFmtId="49" xfId="0" applyAlignment="1" applyBorder="1" applyFont="1" applyNumberFormat="1">
      <alignment horizontal="center" readingOrder="0" vertical="center"/>
    </xf>
    <xf borderId="26" fillId="2" fontId="1" numFmtId="0" xfId="0" applyAlignment="1" applyBorder="1" applyFont="1">
      <alignment vertical="center"/>
    </xf>
    <xf borderId="27" fillId="7" fontId="10" numFmtId="49" xfId="0" applyAlignment="1" applyBorder="1" applyFill="1" applyFont="1" applyNumberFormat="1">
      <alignment horizontal="center" vertical="center"/>
    </xf>
    <xf borderId="17" fillId="8" fontId="7" numFmtId="9" xfId="0" applyAlignment="1" applyBorder="1" applyFill="1" applyFont="1" applyNumberFormat="1">
      <alignment horizontal="center" vertical="center"/>
    </xf>
    <xf borderId="27" fillId="2" fontId="10" numFmtId="0" xfId="0" applyAlignment="1" applyBorder="1" applyFont="1">
      <alignment horizontal="center" shrinkToFit="0" vertical="center" wrapText="1"/>
    </xf>
    <xf borderId="27" fillId="2" fontId="10" numFmtId="0" xfId="0" applyAlignment="1" applyBorder="1" applyFont="1">
      <alignment horizontal="center" vertical="center"/>
    </xf>
    <xf borderId="17" fillId="8" fontId="7" numFmtId="49" xfId="0" applyAlignment="1" applyBorder="1" applyFont="1" applyNumberFormat="1">
      <alignment horizontal="center" vertical="center"/>
    </xf>
    <xf borderId="28" fillId="2" fontId="1" numFmtId="0" xfId="0" applyAlignment="1" applyBorder="1" applyFont="1">
      <alignment vertical="center"/>
    </xf>
    <xf borderId="29" fillId="2" fontId="1" numFmtId="0" xfId="0" applyAlignment="1" applyBorder="1" applyFont="1">
      <alignment vertical="center"/>
    </xf>
    <xf borderId="30" fillId="2" fontId="1" numFmtId="0" xfId="0" applyAlignment="1" applyBorder="1" applyFont="1">
      <alignment vertical="center"/>
    </xf>
    <xf borderId="31" fillId="2" fontId="1" numFmtId="0" xfId="0" applyAlignment="1" applyBorder="1" applyFont="1">
      <alignment vertical="center"/>
    </xf>
    <xf borderId="32" fillId="4" fontId="8" numFmtId="49" xfId="0" applyAlignment="1" applyBorder="1" applyFont="1" applyNumberFormat="1">
      <alignment horizontal="center" shrinkToFit="0" vertical="center" wrapText="1"/>
    </xf>
    <xf borderId="33" fillId="0" fontId="3" numFmtId="0" xfId="0" applyBorder="1" applyFont="1"/>
    <xf borderId="34" fillId="0" fontId="3" numFmtId="0" xfId="0" applyBorder="1" applyFont="1"/>
    <xf borderId="35" fillId="2" fontId="1" numFmtId="0" xfId="0" applyAlignment="1" applyBorder="1" applyFont="1">
      <alignment vertical="center"/>
    </xf>
    <xf borderId="36" fillId="2" fontId="11" numFmtId="49" xfId="0" applyAlignment="1" applyBorder="1" applyFont="1" applyNumberFormat="1">
      <alignment horizontal="left" readingOrder="0" shrinkToFit="0" vertical="center" wrapText="1"/>
    </xf>
    <xf borderId="37" fillId="0" fontId="3" numFmtId="0" xfId="0" applyBorder="1" applyFont="1"/>
    <xf borderId="38" fillId="0" fontId="3" numFmtId="0" xfId="0" applyBorder="1" applyFont="1"/>
    <xf borderId="39" fillId="0" fontId="3" numFmtId="0" xfId="0" applyBorder="1" applyFont="1"/>
    <xf borderId="40" fillId="0" fontId="3" numFmtId="0" xfId="0" applyBorder="1" applyFont="1"/>
    <xf borderId="41" fillId="0" fontId="3" numFmtId="0" xfId="0" applyBorder="1" applyFont="1"/>
    <xf borderId="42" fillId="0" fontId="3" numFmtId="0" xfId="0" applyBorder="1" applyFont="1"/>
    <xf borderId="43" fillId="0" fontId="3" numFmtId="0" xfId="0" applyBorder="1" applyFont="1"/>
    <xf borderId="32" fillId="6" fontId="12" numFmtId="49" xfId="0" applyAlignment="1" applyBorder="1" applyFont="1" applyNumberFormat="1">
      <alignment horizontal="left" shrinkToFit="0" vertical="center" wrapText="1"/>
    </xf>
    <xf borderId="36" fillId="2" fontId="11" numFmtId="49" xfId="0" applyAlignment="1" applyBorder="1" applyFont="1" applyNumberFormat="1">
      <alignment horizontal="left" shrinkToFit="0" vertical="top" wrapText="1"/>
    </xf>
    <xf borderId="44" fillId="2" fontId="1" numFmtId="0" xfId="0" applyAlignment="1" applyBorder="1" applyFont="1">
      <alignment vertical="center"/>
    </xf>
    <xf borderId="45" fillId="2" fontId="1" numFmtId="0" xfId="0" applyAlignment="1" applyBorder="1" applyFont="1">
      <alignment vertical="center"/>
    </xf>
    <xf borderId="17" fillId="4" fontId="8" numFmtId="49" xfId="0" applyAlignment="1" applyBorder="1" applyFont="1" applyNumberFormat="1">
      <alignment horizontal="center" vertical="center"/>
    </xf>
    <xf borderId="27" fillId="7" fontId="10" numFmtId="49" xfId="0" applyAlignment="1" applyBorder="1" applyFont="1" applyNumberFormat="1">
      <alignment horizontal="center" shrinkToFit="0" vertical="center" wrapText="1"/>
    </xf>
    <xf borderId="46" fillId="2" fontId="1" numFmtId="0" xfId="0" applyAlignment="1" applyBorder="1" applyFont="1">
      <alignment vertical="center"/>
    </xf>
    <xf borderId="17" fillId="4" fontId="8" numFmtId="49" xfId="0" applyAlignment="1" applyBorder="1" applyFont="1" applyNumberFormat="1">
      <alignment horizontal="center" shrinkToFit="0" vertical="center" wrapText="1"/>
    </xf>
    <xf borderId="17" fillId="7" fontId="10" numFmtId="49" xfId="0" applyAlignment="1" applyBorder="1" applyFont="1" applyNumberFormat="1">
      <alignment horizontal="right" vertical="center"/>
    </xf>
    <xf borderId="27" fillId="9" fontId="12" numFmtId="0" xfId="0" applyAlignment="1" applyBorder="1" applyFill="1" applyFont="1">
      <alignment horizontal="center" vertical="center"/>
    </xf>
    <xf borderId="27" fillId="2" fontId="10" numFmtId="0" xfId="0" applyAlignment="1" applyBorder="1" applyFont="1">
      <alignment horizontal="center" readingOrder="0" vertical="center"/>
    </xf>
    <xf borderId="47" fillId="7" fontId="10" numFmtId="0" xfId="0" applyAlignment="1" applyBorder="1" applyFont="1">
      <alignment horizontal="right" vertical="center"/>
    </xf>
    <xf borderId="48" fillId="7" fontId="10" numFmtId="0" xfId="0" applyAlignment="1" applyBorder="1" applyFont="1">
      <alignment horizontal="right" vertical="center"/>
    </xf>
    <xf borderId="49" fillId="2" fontId="1" numFmtId="0" xfId="0" applyAlignment="1" applyBorder="1" applyFont="1">
      <alignment vertical="center"/>
    </xf>
    <xf borderId="50" fillId="9" fontId="12" numFmtId="0" xfId="0" applyAlignment="1" applyBorder="1" applyFont="1">
      <alignment horizontal="center" vertical="center"/>
    </xf>
    <xf borderId="17" fillId="4" fontId="13" numFmtId="49" xfId="0" applyAlignment="1" applyBorder="1" applyFont="1" applyNumberFormat="1">
      <alignment horizontal="center" shrinkToFit="0" vertical="center" wrapText="1"/>
    </xf>
    <xf borderId="27" fillId="10" fontId="12" numFmtId="0" xfId="0" applyAlignment="1" applyBorder="1" applyFill="1" applyFont="1">
      <alignment horizontal="center" readingOrder="0" vertical="center"/>
    </xf>
    <xf borderId="51" fillId="2" fontId="1" numFmtId="0" xfId="0" applyAlignment="1" applyBorder="1" applyFont="1">
      <alignment vertical="center"/>
    </xf>
    <xf borderId="17" fillId="4" fontId="13" numFmtId="49" xfId="0" applyAlignment="1" applyBorder="1" applyFont="1" applyNumberFormat="1">
      <alignment horizontal="right" shrinkToFit="0" vertical="center" wrapText="1"/>
    </xf>
    <xf borderId="27" fillId="11" fontId="12" numFmtId="0" xfId="0" applyAlignment="1" applyBorder="1" applyFill="1" applyFont="1">
      <alignment horizontal="center" readingOrder="0" vertical="center"/>
    </xf>
    <xf borderId="27" fillId="12" fontId="12" numFmtId="0" xfId="0" applyAlignment="1" applyBorder="1" applyFill="1" applyFont="1">
      <alignment horizontal="center" vertical="center"/>
    </xf>
    <xf borderId="17" fillId="7" fontId="10" numFmtId="49" xfId="0" applyAlignment="1" applyBorder="1" applyFont="1" applyNumberFormat="1">
      <alignment horizontal="center" shrinkToFit="0" vertical="center" wrapText="1"/>
    </xf>
    <xf borderId="17" fillId="2" fontId="10" numFmtId="0" xfId="0" applyAlignment="1" applyBorder="1" applyFont="1">
      <alignment horizontal="center" shrinkToFit="0" vertical="center" wrapText="1"/>
    </xf>
    <xf borderId="5" fillId="2" fontId="10" numFmtId="0" xfId="0" applyAlignment="1" applyBorder="1" applyFont="1">
      <alignment horizontal="center" vertical="center"/>
    </xf>
    <xf borderId="7" fillId="2" fontId="1" numFmtId="0" xfId="0" applyAlignment="1" applyBorder="1" applyFont="1">
      <alignment vertical="center"/>
    </xf>
    <xf borderId="8" fillId="2" fontId="1" numFmtId="0" xfId="0" applyAlignment="1" applyBorder="1" applyFont="1">
      <alignment vertical="center"/>
    </xf>
    <xf borderId="8" fillId="2" fontId="10" numFmtId="0" xfId="0" applyAlignment="1" applyBorder="1" applyFont="1">
      <alignment horizontal="center" vertical="center"/>
    </xf>
    <xf borderId="9" fillId="2" fontId="1" numFmtId="0" xfId="0" applyAlignment="1" applyBorder="1" applyFont="1">
      <alignment vertical="center"/>
    </xf>
    <xf borderId="52" fillId="3" fontId="14" numFmtId="49" xfId="0" applyAlignment="1" applyBorder="1" applyFont="1" applyNumberFormat="1">
      <alignment horizontal="center" shrinkToFit="0" vertical="center" wrapText="1"/>
    </xf>
    <xf borderId="53" fillId="0" fontId="3" numFmtId="0" xfId="0" applyBorder="1" applyFont="1"/>
    <xf borderId="54" fillId="0" fontId="3" numFmtId="0" xfId="0" applyBorder="1" applyFont="1"/>
    <xf borderId="0" fillId="0" fontId="15" numFmtId="0" xfId="0" applyAlignment="1" applyFont="1">
      <alignment horizontal="center" shrinkToFit="0" vertical="center" wrapText="1"/>
    </xf>
    <xf borderId="55" fillId="4" fontId="16" numFmtId="49" xfId="0" applyAlignment="1" applyBorder="1" applyFont="1" applyNumberFormat="1">
      <alignment horizontal="center" shrinkToFit="0" vertical="center" wrapText="1"/>
    </xf>
    <xf borderId="55" fillId="13" fontId="17" numFmtId="9" xfId="0" applyAlignment="1" applyBorder="1" applyFill="1" applyFont="1" applyNumberFormat="1">
      <alignment horizontal="center" shrinkToFit="0" vertical="center" wrapText="1"/>
    </xf>
    <xf borderId="55" fillId="2" fontId="15" numFmtId="0" xfId="0" applyAlignment="1" applyBorder="1" applyFont="1">
      <alignment horizontal="center" shrinkToFit="0" vertical="center" wrapText="1"/>
    </xf>
    <xf borderId="52" fillId="4" fontId="16" numFmtId="49" xfId="0" applyAlignment="1" applyBorder="1" applyFont="1" applyNumberFormat="1">
      <alignment horizontal="center" shrinkToFit="0" vertical="center" wrapText="1"/>
    </xf>
    <xf borderId="55" fillId="7" fontId="17" numFmtId="49" xfId="0" applyAlignment="1" applyBorder="1" applyFont="1" applyNumberFormat="1">
      <alignment horizontal="center" shrinkToFit="0" vertical="center" wrapText="1"/>
    </xf>
    <xf borderId="55" fillId="14" fontId="14" numFmtId="49" xfId="0" applyAlignment="1" applyBorder="1" applyFill="1" applyFont="1" applyNumberFormat="1">
      <alignment horizontal="center" shrinkToFit="0" vertical="center" wrapText="1"/>
    </xf>
    <xf borderId="55" fillId="0" fontId="18" numFmtId="0" xfId="0" applyAlignment="1" applyBorder="1" applyFont="1">
      <alignment horizontal="center" shrinkToFit="0" vertical="center" wrapText="1"/>
    </xf>
    <xf borderId="55" fillId="2" fontId="15" numFmtId="0" xfId="0" applyAlignment="1" applyBorder="1" applyFont="1">
      <alignment horizontal="center" readingOrder="0" shrinkToFit="0" vertical="center" wrapText="1"/>
    </xf>
    <xf borderId="55" fillId="2" fontId="19" numFmtId="0" xfId="0" applyAlignment="1" applyBorder="1" applyFont="1">
      <alignment horizontal="center" shrinkToFit="0" vertical="center" wrapText="1"/>
    </xf>
    <xf borderId="55" fillId="2" fontId="20" numFmtId="0" xfId="0" applyAlignment="1" applyBorder="1" applyFont="1">
      <alignment horizontal="center" shrinkToFit="0" vertical="center" wrapText="1"/>
    </xf>
    <xf borderId="55" fillId="0" fontId="21" numFmtId="0" xfId="0" applyAlignment="1" applyBorder="1" applyFont="1">
      <alignment horizontal="center" vertical="center"/>
    </xf>
    <xf borderId="55" fillId="15" fontId="21" numFmtId="0" xfId="0" applyAlignment="1" applyBorder="1" applyFill="1" applyFont="1">
      <alignment horizontal="center" vertical="center"/>
    </xf>
    <xf borderId="55" fillId="9" fontId="17" numFmtId="0" xfId="0" applyAlignment="1" applyBorder="1" applyFont="1">
      <alignment horizontal="center" shrinkToFit="0" vertical="center" wrapText="1"/>
    </xf>
    <xf borderId="0" fillId="2" fontId="15" numFmtId="0" xfId="0" applyAlignment="1" applyFont="1">
      <alignment horizontal="center" shrinkToFit="0" vertical="center" wrapText="1"/>
    </xf>
    <xf borderId="0" fillId="0" fontId="22" numFmtId="0" xfId="0" applyAlignment="1" applyFont="1">
      <alignment horizontal="center" vertical="center"/>
    </xf>
    <xf borderId="0" fillId="0" fontId="20" numFmtId="0" xfId="0" applyAlignment="1" applyFont="1">
      <alignment horizontal="center" vertical="center"/>
    </xf>
    <xf borderId="55" fillId="0" fontId="15" numFmtId="0" xfId="0" applyAlignment="1" applyBorder="1" applyFont="1">
      <alignment horizontal="center" readingOrder="0" shrinkToFit="0" vertical="center" wrapText="1"/>
    </xf>
    <xf borderId="55" fillId="0" fontId="23" numFmtId="0" xfId="0" applyAlignment="1" applyBorder="1" applyFont="1">
      <alignment horizontal="center" shrinkToFit="0" vertical="center" wrapText="1"/>
    </xf>
    <xf borderId="55" fillId="0" fontId="23" numFmtId="0" xfId="0" applyAlignment="1" applyBorder="1" applyFont="1">
      <alignment horizontal="left" shrinkToFit="0" vertical="center" wrapText="1"/>
    </xf>
    <xf borderId="55" fillId="16" fontId="24" numFmtId="49" xfId="0" applyAlignment="1" applyBorder="1" applyFill="1" applyFont="1" applyNumberFormat="1">
      <alignment horizontal="center" shrinkToFit="0" vertical="center" wrapText="1"/>
    </xf>
    <xf borderId="55" fillId="0" fontId="25" numFmtId="0" xfId="0" applyAlignment="1" applyBorder="1" applyFont="1">
      <alignment horizontal="center" readingOrder="0" shrinkToFit="0" vertical="center" wrapText="1"/>
    </xf>
    <xf borderId="55" fillId="0" fontId="23" numFmtId="0" xfId="0" applyAlignment="1" applyBorder="1" applyFont="1">
      <alignment horizontal="center" readingOrder="0" shrinkToFit="0" vertical="center" wrapText="1"/>
    </xf>
    <xf borderId="0" fillId="0" fontId="22" numFmtId="0" xfId="0" applyAlignment="1" applyFont="1">
      <alignment horizontal="center" shrinkToFit="0" vertical="center" wrapText="1"/>
    </xf>
    <xf borderId="55" fillId="0" fontId="26" numFmtId="0" xfId="0" applyAlignment="1" applyBorder="1" applyFont="1">
      <alignment horizontal="center" vertical="center"/>
    </xf>
    <xf borderId="55" fillId="0" fontId="23" numFmtId="0" xfId="0" applyAlignment="1" applyBorder="1" applyFont="1">
      <alignment horizontal="left" vertical="center"/>
    </xf>
    <xf borderId="55" fillId="17" fontId="27" numFmtId="0" xfId="0" applyAlignment="1" applyBorder="1" applyFill="1" applyFont="1">
      <alignment horizontal="center" shrinkToFit="0" vertical="center" wrapText="1"/>
    </xf>
    <xf borderId="55" fillId="17" fontId="15" numFmtId="0" xfId="0" applyAlignment="1" applyBorder="1" applyFont="1">
      <alignment horizontal="center" shrinkToFit="0" vertical="center" wrapText="1"/>
    </xf>
    <xf borderId="55" fillId="17" fontId="28" numFmtId="0" xfId="0" applyAlignment="1" applyBorder="1" applyFont="1">
      <alignment horizontal="center" vertical="center"/>
    </xf>
    <xf borderId="55" fillId="17" fontId="23" numFmtId="0" xfId="0" applyAlignment="1" applyBorder="1" applyFont="1">
      <alignment horizontal="left" shrinkToFit="0" vertical="center" wrapText="1"/>
    </xf>
    <xf borderId="55" fillId="17" fontId="24" numFmtId="49" xfId="0" applyAlignment="1" applyBorder="1" applyFont="1" applyNumberFormat="1">
      <alignment horizontal="center" shrinkToFit="0" vertical="center" wrapText="1"/>
    </xf>
    <xf borderId="55" fillId="17" fontId="25" numFmtId="0" xfId="0" applyAlignment="1" applyBorder="1" applyFont="1">
      <alignment horizontal="center" shrinkToFit="0" vertical="center" wrapText="1"/>
    </xf>
    <xf borderId="55" fillId="17" fontId="23" numFmtId="0" xfId="0" applyAlignment="1" applyBorder="1" applyFont="1">
      <alignment horizontal="center" shrinkToFit="0" vertical="center" wrapText="1"/>
    </xf>
    <xf borderId="55" fillId="0" fontId="15" numFmtId="0" xfId="0" applyAlignment="1" applyBorder="1" applyFont="1">
      <alignment horizontal="center" readingOrder="0" shrinkToFit="0" vertical="center" wrapText="1"/>
    </xf>
    <xf borderId="0" fillId="0" fontId="15" numFmtId="0" xfId="0" applyAlignment="1" applyFont="1">
      <alignment horizontal="center" vertical="center"/>
    </xf>
    <xf borderId="0" fillId="0" fontId="22" numFmtId="0" xfId="0" applyAlignment="1" applyFont="1">
      <alignment horizontal="center" vertical="center"/>
    </xf>
    <xf borderId="55" fillId="17" fontId="29" numFmtId="0" xfId="0" applyAlignment="1" applyBorder="1" applyFont="1">
      <alignment horizontal="center" shrinkToFit="0" vertical="center" wrapText="1"/>
    </xf>
    <xf borderId="55" fillId="0" fontId="23" numFmtId="0" xfId="0" applyAlignment="1" applyBorder="1" applyFont="1">
      <alignment horizontal="center" vertical="center"/>
    </xf>
    <xf borderId="55" fillId="0" fontId="30" numFmtId="0" xfId="0" applyAlignment="1" applyBorder="1" applyFont="1">
      <alignment horizontal="center" shrinkToFit="0" vertical="center" wrapText="1"/>
    </xf>
    <xf borderId="55" fillId="0" fontId="31" numFmtId="0" xfId="0" applyAlignment="1" applyBorder="1" applyFont="1">
      <alignment horizontal="center" shrinkToFit="0" vertical="center" wrapText="1"/>
    </xf>
    <xf borderId="55" fillId="17" fontId="23" numFmtId="0" xfId="0" applyAlignment="1" applyBorder="1" applyFont="1">
      <alignment horizontal="center" vertical="center"/>
    </xf>
    <xf borderId="55" fillId="17" fontId="23" numFmtId="0" xfId="0" applyAlignment="1" applyBorder="1" applyFont="1">
      <alignment horizontal="left" vertical="center"/>
    </xf>
    <xf borderId="55" fillId="16" fontId="24" numFmtId="49" xfId="0" applyAlignment="1" applyBorder="1" applyFont="1" applyNumberFormat="1">
      <alignment horizontal="center" shrinkToFit="0" vertical="center" wrapText="1"/>
    </xf>
    <xf borderId="55" fillId="2" fontId="32" numFmtId="0" xfId="0" applyAlignment="1" applyBorder="1" applyFont="1">
      <alignment horizontal="center" shrinkToFit="0" vertical="center" wrapText="1"/>
    </xf>
    <xf borderId="55" fillId="2" fontId="20" numFmtId="0" xfId="0" applyAlignment="1" applyBorder="1" applyFont="1">
      <alignment horizontal="center" shrinkToFit="0" vertical="center" wrapText="1"/>
    </xf>
    <xf borderId="0" fillId="0" fontId="15" numFmtId="0" xfId="0" applyAlignment="1" applyFont="1">
      <alignment horizontal="center" vertical="center"/>
    </xf>
    <xf borderId="0" fillId="0" fontId="15" numFmtId="0" xfId="0" applyAlignment="1" applyFont="1">
      <alignment horizontal="center" shrinkToFit="0" vertical="center" wrapText="1"/>
    </xf>
    <xf borderId="55" fillId="15" fontId="32" numFmtId="0" xfId="0" applyAlignment="1" applyBorder="1" applyFont="1">
      <alignment horizontal="center" shrinkToFit="0" vertical="center" wrapText="1"/>
    </xf>
    <xf borderId="55" fillId="15" fontId="20" numFmtId="0" xfId="0" applyAlignment="1" applyBorder="1" applyFont="1">
      <alignment horizontal="center" shrinkToFit="0" vertical="center" wrapText="1"/>
    </xf>
    <xf borderId="55" fillId="0" fontId="33" numFmtId="0" xfId="0" applyAlignment="1" applyBorder="1" applyFont="1">
      <alignment horizontal="center" shrinkToFit="0" vertical="center" wrapText="1"/>
    </xf>
    <xf borderId="55" fillId="17" fontId="31" numFmtId="0" xfId="0" applyAlignment="1" applyBorder="1" applyFont="1">
      <alignment horizontal="center" shrinkToFit="0" vertical="center" wrapText="1"/>
    </xf>
    <xf borderId="55" fillId="2" fontId="23" numFmtId="0" xfId="0" applyAlignment="1" applyBorder="1" applyFont="1">
      <alignment horizontal="left" shrinkToFit="0" vertical="center" wrapText="1"/>
    </xf>
    <xf borderId="55" fillId="0" fontId="34" numFmtId="0" xfId="0" applyAlignment="1" applyBorder="1" applyFont="1">
      <alignment horizontal="center" vertical="center"/>
    </xf>
    <xf borderId="55" fillId="0" fontId="35" numFmtId="0" xfId="0" applyAlignment="1" applyBorder="1" applyFont="1">
      <alignment horizontal="center" vertical="center"/>
    </xf>
    <xf borderId="0" fillId="0" fontId="23" numFmtId="0" xfId="0" applyAlignment="1" applyFont="1">
      <alignment horizontal="center" shrinkToFit="0" vertical="center" wrapText="1"/>
    </xf>
    <xf borderId="0" fillId="0" fontId="20" numFmtId="0" xfId="0" applyAlignment="1" applyFont="1">
      <alignment horizontal="center" shrinkToFit="0" vertical="center" wrapText="1"/>
    </xf>
    <xf borderId="55" fillId="0" fontId="22" numFmtId="0" xfId="0" applyAlignment="1" applyBorder="1" applyFont="1">
      <alignment horizontal="center" vertical="center"/>
    </xf>
    <xf borderId="55" fillId="2" fontId="20" numFmtId="0" xfId="0" applyAlignment="1" applyBorder="1" applyFont="1">
      <alignment horizontal="center" vertical="center"/>
    </xf>
    <xf borderId="55" fillId="17" fontId="15" numFmtId="0" xfId="0" applyAlignment="1" applyBorder="1" applyFont="1">
      <alignment horizontal="center" readingOrder="0" shrinkToFit="0" vertical="center" wrapText="1"/>
    </xf>
    <xf borderId="55" fillId="2" fontId="32" numFmtId="0" xfId="0" applyAlignment="1" applyBorder="1" applyFont="1">
      <alignment horizontal="center" shrinkToFit="0" vertical="center" wrapText="1"/>
    </xf>
    <xf borderId="55" fillId="2" fontId="20" numFmtId="0" xfId="0" applyAlignment="1" applyBorder="1" applyFont="1">
      <alignment horizontal="center" shrinkToFit="0" vertical="center" wrapText="1"/>
    </xf>
    <xf borderId="55" fillId="2" fontId="20" numFmtId="0" xfId="0" applyAlignment="1" applyBorder="1" applyFont="1">
      <alignment horizontal="center" readingOrder="0" shrinkToFit="0" vertical="center" wrapText="1"/>
    </xf>
    <xf borderId="0" fillId="0" fontId="26" numFmtId="0" xfId="0" applyAlignment="1" applyFont="1">
      <alignment horizontal="center" vertical="center"/>
    </xf>
    <xf borderId="55" fillId="15" fontId="32" numFmtId="0" xfId="0" applyAlignment="1" applyBorder="1" applyFont="1">
      <alignment horizontal="center" shrinkToFit="0" vertical="center" wrapText="1"/>
    </xf>
    <xf borderId="55" fillId="15" fontId="20" numFmtId="0" xfId="0" applyAlignment="1" applyBorder="1" applyFont="1">
      <alignment horizontal="center" shrinkToFit="0" vertical="center" wrapText="1"/>
    </xf>
    <xf borderId="55" fillId="2" fontId="21" numFmtId="0" xfId="0" applyAlignment="1" applyBorder="1" applyFont="1">
      <alignment horizontal="center" shrinkToFit="0" vertical="center" wrapText="1"/>
    </xf>
    <xf borderId="55" fillId="2" fontId="36" numFmtId="0" xfId="0" applyAlignment="1" applyBorder="1" applyFont="1">
      <alignment horizontal="center" shrinkToFit="0" vertical="center" wrapText="1"/>
    </xf>
    <xf borderId="55" fillId="17" fontId="37" numFmtId="0" xfId="0" applyAlignment="1" applyBorder="1" applyFont="1">
      <alignment horizontal="center" shrinkToFit="0" vertical="center" wrapText="1"/>
    </xf>
    <xf borderId="55" fillId="0" fontId="20" numFmtId="0" xfId="0" applyAlignment="1" applyBorder="1" applyFont="1">
      <alignment horizontal="center" vertical="center"/>
    </xf>
    <xf borderId="55" fillId="0" fontId="38" numFmtId="0" xfId="0" applyAlignment="1" applyBorder="1" applyFont="1">
      <alignment horizontal="center" vertical="center"/>
    </xf>
    <xf borderId="55" fillId="0" fontId="39" numFmtId="0" xfId="0" applyAlignment="1" applyBorder="1" applyFont="1">
      <alignment horizontal="center" shrinkToFit="0" vertical="center" wrapText="1"/>
    </xf>
    <xf borderId="55" fillId="0" fontId="15" numFmtId="0" xfId="0" applyAlignment="1" applyBorder="1" applyFont="1">
      <alignment horizontal="center" shrinkToFit="0" vertical="center" wrapText="1"/>
    </xf>
    <xf borderId="55" fillId="0" fontId="23" numFmtId="0" xfId="0" applyAlignment="1" applyBorder="1" applyFont="1">
      <alignment horizontal="center" shrinkToFit="0" vertical="center" wrapText="1"/>
    </xf>
    <xf borderId="55" fillId="0" fontId="23" numFmtId="0" xfId="0" applyAlignment="1" applyBorder="1" applyFont="1">
      <alignment horizontal="left" shrinkToFit="0" vertical="center" wrapText="1"/>
    </xf>
    <xf borderId="55" fillId="0" fontId="25" numFmtId="0" xfId="0" applyAlignment="1" applyBorder="1" applyFont="1">
      <alignment horizontal="center" shrinkToFit="0" vertical="center" wrapText="1"/>
    </xf>
    <xf borderId="55" fillId="17" fontId="15" numFmtId="0" xfId="0" applyAlignment="1" applyBorder="1" applyFont="1">
      <alignment horizontal="center" shrinkToFit="0" vertical="center" wrapText="1"/>
    </xf>
    <xf borderId="55" fillId="17" fontId="23" numFmtId="0" xfId="0" applyAlignment="1" applyBorder="1" applyFont="1">
      <alignment horizontal="center" shrinkToFit="0" vertical="center" wrapText="1"/>
    </xf>
    <xf borderId="55" fillId="17" fontId="23" numFmtId="0" xfId="0" applyAlignment="1" applyBorder="1" applyFont="1">
      <alignment horizontal="left" shrinkToFit="0" vertical="center" wrapText="1"/>
    </xf>
    <xf borderId="55" fillId="17" fontId="23" numFmtId="0" xfId="0" applyAlignment="1" applyBorder="1" applyFont="1">
      <alignment horizontal="center" vertical="center"/>
    </xf>
    <xf borderId="55" fillId="0" fontId="21" numFmtId="0" xfId="0" applyAlignment="1" applyBorder="1" applyFont="1">
      <alignment horizontal="center" shrinkToFit="0" vertical="center" wrapText="1"/>
    </xf>
    <xf borderId="55" fillId="0" fontId="23" numFmtId="0" xfId="0" applyAlignment="1" applyBorder="1" applyFont="1">
      <alignment horizontal="center" vertical="center"/>
    </xf>
    <xf borderId="0" fillId="0" fontId="40" numFmtId="0" xfId="0" applyAlignment="1" applyFont="1">
      <alignment horizontal="center" vertical="center"/>
    </xf>
    <xf borderId="0" fillId="0" fontId="23" numFmtId="0" xfId="0" applyAlignment="1" applyFont="1">
      <alignment horizontal="center" vertical="center"/>
    </xf>
    <xf borderId="0" fillId="0" fontId="23" numFmtId="0" xfId="0" applyAlignment="1" applyFont="1">
      <alignment horizontal="left" shrinkToFit="0" vertical="center" wrapText="1"/>
    </xf>
    <xf borderId="0" fillId="16" fontId="24" numFmtId="49" xfId="0" applyAlignment="1" applyFont="1" applyNumberFormat="1">
      <alignment horizontal="center" shrinkToFit="0" vertical="center" wrapText="1"/>
    </xf>
    <xf borderId="0" fillId="0" fontId="25" numFmtId="0" xfId="0" applyAlignment="1" applyFont="1">
      <alignment horizontal="center" shrinkToFit="0" vertical="center" wrapText="1"/>
    </xf>
    <xf borderId="56" fillId="2" fontId="41" numFmtId="0" xfId="0" applyAlignment="1" applyBorder="1" applyFont="1">
      <alignment shrinkToFit="0" vertical="bottom" wrapText="0"/>
    </xf>
    <xf borderId="56" fillId="0" fontId="42" numFmtId="0" xfId="0" applyAlignment="1" applyBorder="1" applyFont="1">
      <alignment vertical="bottom"/>
    </xf>
    <xf borderId="55" fillId="18" fontId="41" numFmtId="0" xfId="0" applyAlignment="1" applyBorder="1" applyFill="1" applyFont="1">
      <alignment horizontal="center" shrinkToFit="0" vertical="center" wrapText="1"/>
    </xf>
    <xf borderId="55" fillId="18" fontId="41" numFmtId="0" xfId="0" applyAlignment="1" applyBorder="1" applyFont="1">
      <alignment horizontal="center" readingOrder="0" shrinkToFit="0" vertical="center" wrapText="1"/>
    </xf>
    <xf borderId="55" fillId="2" fontId="41" numFmtId="0" xfId="0" applyAlignment="1" applyBorder="1" applyFont="1">
      <alignment horizontal="center" shrinkToFit="0" vertical="center" wrapText="1"/>
    </xf>
    <xf borderId="55" fillId="2" fontId="41" numFmtId="0" xfId="0" applyAlignment="1" applyBorder="1" applyFont="1">
      <alignment horizontal="center" readingOrder="0" shrinkToFit="0" vertical="center" wrapText="1"/>
    </xf>
    <xf borderId="0" fillId="0" fontId="42" numFmtId="0" xfId="0" applyAlignment="1" applyFont="1">
      <alignment vertical="bottom"/>
    </xf>
    <xf borderId="0" fillId="0" fontId="32" numFmtId="0" xfId="0" applyAlignment="1" applyFont="1">
      <alignment shrinkToFit="0" vertical="bottom" wrapText="0"/>
    </xf>
    <xf borderId="0" fillId="2" fontId="43" numFmtId="0" xfId="0" applyAlignment="1" applyFont="1">
      <alignment shrinkToFit="0" vertical="center" wrapText="1"/>
    </xf>
    <xf borderId="0" fillId="0" fontId="44" numFmtId="0" xfId="0" applyAlignment="1" applyFont="1">
      <alignment shrinkToFit="0" vertical="center" wrapText="1"/>
    </xf>
    <xf borderId="0" fillId="0" fontId="44" numFmtId="0" xfId="0" applyAlignment="1" applyFont="1">
      <alignment vertical="center"/>
    </xf>
    <xf borderId="0" fillId="0" fontId="44" numFmtId="0" xfId="0" applyFont="1"/>
    <xf borderId="55" fillId="18" fontId="45" numFmtId="0" xfId="0" applyAlignment="1" applyBorder="1" applyFont="1">
      <alignment horizontal="center" shrinkToFit="0" vertical="center" wrapText="1"/>
    </xf>
    <xf borderId="55" fillId="18" fontId="45" numFmtId="2" xfId="0" applyAlignment="1" applyBorder="1" applyFont="1" applyNumberFormat="1">
      <alignment horizontal="center" shrinkToFit="0" vertical="center" wrapText="1"/>
    </xf>
    <xf borderId="0" fillId="0" fontId="1" numFmtId="0" xfId="0" applyAlignment="1" applyFont="1">
      <alignment horizontal="center" vertical="center"/>
    </xf>
    <xf borderId="0" fillId="0" fontId="22" numFmtId="0" xfId="0" applyAlignment="1" applyFont="1">
      <alignment horizontal="center"/>
    </xf>
    <xf borderId="55" fillId="0" fontId="44" numFmtId="0" xfId="0" applyAlignment="1" applyBorder="1" applyFont="1">
      <alignment horizontal="center" shrinkToFit="0" vertical="center" wrapText="1"/>
    </xf>
    <xf borderId="55" fillId="0" fontId="46" numFmtId="0" xfId="0" applyAlignment="1" applyBorder="1" applyFont="1">
      <alignment horizontal="center" shrinkToFit="0" vertical="center" wrapText="1"/>
    </xf>
    <xf borderId="55" fillId="0" fontId="44" numFmtId="9" xfId="0" applyAlignment="1" applyBorder="1" applyFont="1" applyNumberFormat="1">
      <alignment horizontal="center" shrinkToFit="0" vertical="center" wrapText="1"/>
    </xf>
    <xf borderId="55" fillId="2" fontId="22" numFmtId="0" xfId="0" applyAlignment="1" applyBorder="1" applyFont="1">
      <alignment horizontal="center" shrinkToFit="0" vertical="center" wrapText="1"/>
    </xf>
    <xf borderId="55" fillId="0" fontId="44" numFmtId="2" xfId="0" applyAlignment="1" applyBorder="1" applyFont="1" applyNumberFormat="1">
      <alignment horizontal="center" shrinkToFit="0" vertical="center" wrapText="1"/>
    </xf>
    <xf borderId="57" fillId="0" fontId="22" numFmtId="0" xfId="0" applyAlignment="1" applyBorder="1" applyFont="1">
      <alignment horizontal="center" shrinkToFit="0" vertical="center" wrapText="1"/>
    </xf>
    <xf borderId="0" fillId="0" fontId="1" numFmtId="2" xfId="0" applyAlignment="1" applyFont="1" applyNumberFormat="1">
      <alignment horizontal="center" vertical="center"/>
    </xf>
    <xf borderId="55" fillId="0" fontId="23" numFmtId="0" xfId="0" applyAlignment="1" applyBorder="1" applyFont="1">
      <alignment horizontal="center" readingOrder="0" shrinkToFit="0" vertical="center" wrapText="1"/>
    </xf>
    <xf borderId="55" fillId="2" fontId="22" numFmtId="0" xfId="0" applyAlignment="1" applyBorder="1" applyFont="1">
      <alignment horizontal="center" shrinkToFit="0" vertical="center" wrapText="1"/>
    </xf>
    <xf borderId="57" fillId="2" fontId="3" numFmtId="0" xfId="0" applyBorder="1" applyFont="1"/>
    <xf borderId="0" fillId="2" fontId="23" numFmtId="0" xfId="0" applyAlignment="1" applyFont="1">
      <alignment horizontal="left" shrinkToFit="0" wrapText="1"/>
    </xf>
    <xf borderId="0" fillId="0" fontId="1" numFmtId="0" xfId="0" applyAlignment="1" applyFont="1">
      <alignment horizontal="center" shrinkToFit="0" vertical="center" wrapText="1"/>
    </xf>
    <xf borderId="57" fillId="0" fontId="3" numFmtId="0" xfId="0" applyBorder="1" applyFont="1"/>
    <xf borderId="58" fillId="0" fontId="3" numFmtId="0" xfId="0" applyBorder="1" applyFont="1"/>
    <xf borderId="55" fillId="0" fontId="22" numFmtId="0" xfId="0" applyAlignment="1" applyBorder="1" applyFont="1">
      <alignment horizontal="center" shrinkToFit="0" vertical="center" wrapText="1"/>
    </xf>
    <xf borderId="55" fillId="18" fontId="47" numFmtId="0" xfId="0" applyAlignment="1" applyBorder="1" applyFont="1">
      <alignment horizontal="center" vertical="center"/>
    </xf>
    <xf borderId="55" fillId="18" fontId="47" numFmtId="9" xfId="0" applyAlignment="1" applyBorder="1" applyFont="1" applyNumberFormat="1">
      <alignment horizontal="center" vertical="center"/>
    </xf>
    <xf borderId="55" fillId="18" fontId="47" numFmtId="2" xfId="0" applyAlignment="1" applyBorder="1" applyFont="1" applyNumberFormat="1">
      <alignment horizontal="center" vertical="center"/>
    </xf>
    <xf borderId="55" fillId="0" fontId="47" numFmtId="2" xfId="0" applyAlignment="1" applyBorder="1" applyFont="1" applyNumberFormat="1">
      <alignment horizontal="center" vertical="center"/>
    </xf>
    <xf borderId="55" fillId="0" fontId="9" numFmtId="2" xfId="0" applyAlignment="1" applyBorder="1" applyFont="1" applyNumberFormat="1">
      <alignment horizontal="center" vertical="center"/>
    </xf>
    <xf borderId="0" fillId="0" fontId="25" numFmtId="0" xfId="0" applyAlignment="1" applyFont="1">
      <alignment horizontal="center"/>
    </xf>
    <xf borderId="55" fillId="0" fontId="47" numFmtId="0" xfId="0" applyAlignment="1" applyBorder="1" applyFont="1">
      <alignment horizontal="center" shrinkToFit="0" vertical="center" wrapText="1"/>
    </xf>
    <xf borderId="0" fillId="2" fontId="17" numFmtId="0" xfId="0" applyAlignment="1" applyFont="1">
      <alignment horizontal="center" vertical="center"/>
    </xf>
    <xf borderId="0" fillId="0" fontId="1" numFmtId="0" xfId="0" applyAlignment="1" applyFont="1">
      <alignment vertical="center"/>
    </xf>
    <xf borderId="0" fillId="0" fontId="44" numFmtId="0" xfId="0" applyAlignment="1" applyFont="1">
      <alignment horizontal="center" vertical="center"/>
    </xf>
    <xf borderId="56" fillId="2" fontId="17" numFmtId="0" xfId="0" applyAlignment="1" applyBorder="1" applyFont="1">
      <alignment shrinkToFit="0" vertical="center" wrapText="0"/>
    </xf>
    <xf borderId="56" fillId="0" fontId="1" numFmtId="0" xfId="0" applyAlignment="1" applyBorder="1" applyFont="1">
      <alignment vertical="center"/>
    </xf>
    <xf borderId="52" fillId="18" fontId="17" numFmtId="0" xfId="0" applyAlignment="1" applyBorder="1" applyFont="1">
      <alignment horizontal="center" vertical="center"/>
    </xf>
    <xf borderId="55" fillId="18" fontId="17" numFmtId="0" xfId="0" applyAlignment="1" applyBorder="1" applyFont="1">
      <alignment horizontal="center" vertical="center"/>
    </xf>
    <xf borderId="55" fillId="18" fontId="17" numFmtId="0" xfId="0" applyAlignment="1" applyBorder="1" applyFont="1">
      <alignment horizontal="center" shrinkToFit="0" vertical="center" wrapText="1"/>
    </xf>
    <xf borderId="55" fillId="18" fontId="15" numFmtId="0" xfId="0" applyAlignment="1" applyBorder="1" applyFont="1">
      <alignment horizontal="center" vertical="center"/>
    </xf>
    <xf borderId="55" fillId="2" fontId="1" numFmtId="0" xfId="0" applyAlignment="1" applyBorder="1" applyFont="1">
      <alignment horizontal="center" readingOrder="0" vertical="center"/>
    </xf>
    <xf borderId="55" fillId="2" fontId="48" numFmtId="0" xfId="0" applyAlignment="1" applyBorder="1" applyFont="1">
      <alignment horizontal="center" vertical="center"/>
    </xf>
    <xf borderId="59" fillId="2" fontId="49" numFmtId="10" xfId="0" applyAlignment="1" applyBorder="1" applyFont="1" applyNumberFormat="1">
      <alignment horizontal="center" vertical="center"/>
    </xf>
    <xf borderId="0" fillId="18" fontId="15" numFmtId="0" xfId="0" applyAlignment="1" applyFont="1">
      <alignment horizontal="center" vertical="center"/>
    </xf>
    <xf borderId="0" fillId="2" fontId="1" numFmtId="0" xfId="0" applyAlignment="1" applyFont="1">
      <alignment horizontal="center" vertical="center"/>
    </xf>
    <xf borderId="0" fillId="2" fontId="49" numFmtId="10" xfId="0" applyAlignment="1" applyFont="1" applyNumberFormat="1">
      <alignment horizontal="center" vertical="center"/>
    </xf>
    <xf borderId="0" fillId="0" fontId="6" numFmtId="0" xfId="0" applyAlignment="1" applyFont="1">
      <alignment horizontal="center" vertical="center"/>
    </xf>
    <xf borderId="0" fillId="0" fontId="17" numFmtId="0" xfId="0" applyAlignment="1" applyFont="1">
      <alignment horizontal="center" shrinkToFit="0" wrapText="1"/>
    </xf>
    <xf borderId="0" fillId="0" fontId="50" numFmtId="0" xfId="0" applyAlignment="1" applyFont="1">
      <alignment horizontal="left" shrinkToFit="0" wrapText="1"/>
    </xf>
    <xf borderId="0" fillId="2" fontId="22" numFmtId="0" xfId="0" applyAlignment="1" applyFont="1">
      <alignment horizontal="left" shrinkToFit="0" vertical="bottom" wrapText="1"/>
    </xf>
    <xf borderId="0" fillId="0" fontId="22" numFmtId="0" xfId="0" applyAlignment="1" applyFont="1">
      <alignment horizontal="left" shrinkToFit="0" vertical="bottom" wrapText="1"/>
    </xf>
  </cellXfs>
  <cellStyles count="1">
    <cellStyle xfId="0" name="Normal" builtinId="0"/>
  </cellStyles>
  <dxfs count="11">
    <dxf>
      <font/>
      <fill>
        <patternFill patternType="solid">
          <fgColor rgb="FF66FF66"/>
          <bgColor rgb="FF66FF66"/>
        </patternFill>
      </fill>
      <border/>
    </dxf>
    <dxf>
      <font/>
      <fill>
        <patternFill patternType="solid">
          <fgColor rgb="FFFFC000"/>
          <bgColor rgb="FFFFC000"/>
        </patternFill>
      </fill>
      <border/>
    </dxf>
    <dxf>
      <font>
        <b/>
        <color rgb="FFFFFF00"/>
      </font>
      <fill>
        <patternFill patternType="solid">
          <fgColor rgb="FFFF0000"/>
          <bgColor rgb="FFFF0000"/>
        </patternFill>
      </fill>
      <border/>
    </dxf>
    <dxf>
      <font>
        <color rgb="FFFFFFFF"/>
      </font>
      <fill>
        <patternFill patternType="solid">
          <fgColor rgb="FFFFC000"/>
          <bgColor rgb="FFFFC000"/>
        </patternFill>
      </fill>
      <border/>
    </dxf>
    <dxf>
      <font>
        <color rgb="FFFFFF00"/>
      </font>
      <fill>
        <patternFill patternType="solid">
          <fgColor rgb="FFFF0000"/>
          <bgColor rgb="FFFF0000"/>
        </patternFill>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0C0C0"/>
          <bgColor rgb="FFC0C0C0"/>
        </patternFill>
      </fill>
      <border/>
    </dxf>
    <dxf>
      <font/>
      <fill>
        <patternFill patternType="solid">
          <fgColor rgb="FFFF0000"/>
          <bgColor rgb="FFFF0000"/>
        </patternFill>
      </fill>
      <border/>
    </dxf>
    <dxf>
      <font/>
      <fill>
        <patternFill patternType="solid">
          <fgColor rgb="FF70AD47"/>
          <bgColor rgb="FF70AD47"/>
        </patternFill>
      </fill>
      <border/>
    </dxf>
  </dxfs>
  <tableStyles count="22">
    <tableStyle count="2" pivot="0" name="TestCase Coverage-style">
      <tableStyleElement dxfId="6" type="firstRowStripe"/>
      <tableStyleElement dxfId="7" type="secondRowStripe"/>
    </tableStyle>
    <tableStyle count="2" pivot="0" name="TestCase Coverage-style 2">
      <tableStyleElement dxfId="6" type="firstRowStripe"/>
      <tableStyleElement dxfId="7" type="secondRowStripe"/>
    </tableStyle>
    <tableStyle count="2" pivot="0" name="TestCase Coverage-style 3">
      <tableStyleElement dxfId="6" type="firstRowStripe"/>
      <tableStyleElement dxfId="7" type="secondRowStripe"/>
    </tableStyle>
    <tableStyle count="2" pivot="0" name="TestCase Coverage-style 4">
      <tableStyleElement dxfId="6" type="firstRowStripe"/>
      <tableStyleElement dxfId="7" type="secondRowStripe"/>
    </tableStyle>
    <tableStyle count="2" pivot="0" name="TestCase Coverage-style 5">
      <tableStyleElement dxfId="6" type="firstRowStripe"/>
      <tableStyleElement dxfId="7" type="secondRowStripe"/>
    </tableStyle>
    <tableStyle count="2" pivot="0" name="TestCase Coverage-style 6">
      <tableStyleElement dxfId="6" type="firstRowStripe"/>
      <tableStyleElement dxfId="7" type="secondRowStripe"/>
    </tableStyle>
    <tableStyle count="2" pivot="0" name="TestCase Coverage-style 7">
      <tableStyleElement dxfId="6" type="firstRowStripe"/>
      <tableStyleElement dxfId="7" type="secondRowStripe"/>
    </tableStyle>
    <tableStyle count="2" pivot="0" name="TestCase Coverage-style 8">
      <tableStyleElement dxfId="7" type="firstRowStripe"/>
      <tableStyleElement dxfId="6" type="secondRowStripe"/>
    </tableStyle>
    <tableStyle count="2" pivot="0" name="TestCase Coverage-style 9">
      <tableStyleElement dxfId="6" type="firstRowStripe"/>
      <tableStyleElement dxfId="7" type="secondRowStripe"/>
    </tableStyle>
    <tableStyle count="2" pivot="0" name="TestCase Coverage-style 10">
      <tableStyleElement dxfId="6" type="firstRowStripe"/>
      <tableStyleElement dxfId="7" type="secondRowStripe"/>
    </tableStyle>
    <tableStyle count="2" pivot="0" name="TestCase Coverage-style 11">
      <tableStyleElement dxfId="6" type="firstRowStripe"/>
      <tableStyleElement dxfId="7" type="secondRowStripe"/>
    </tableStyle>
    <tableStyle count="2" pivot="0" name="TestCase Coverage-style 12">
      <tableStyleElement dxfId="7" type="firstRowStripe"/>
      <tableStyleElement dxfId="6" type="secondRowStripe"/>
    </tableStyle>
    <tableStyle count="2" pivot="0" name="TestCase Coverage-style 13">
      <tableStyleElement dxfId="6" type="firstRowStripe"/>
      <tableStyleElement dxfId="7" type="secondRowStripe"/>
    </tableStyle>
    <tableStyle count="2" pivot="0" name="TestCase Coverage-style 14">
      <tableStyleElement dxfId="7" type="firstRowStripe"/>
      <tableStyleElement dxfId="6" type="secondRowStripe"/>
    </tableStyle>
    <tableStyle count="2" pivot="0" name="TestCase Coverage-style 15">
      <tableStyleElement dxfId="7" type="firstRowStripe"/>
      <tableStyleElement dxfId="6" type="secondRowStripe"/>
    </tableStyle>
    <tableStyle count="2" pivot="0" name="TestCase Coverage-style 16">
      <tableStyleElement dxfId="6" type="firstRowStripe"/>
      <tableStyleElement dxfId="7" type="secondRowStripe"/>
    </tableStyle>
    <tableStyle count="2" pivot="0" name="TestCase Coverage-style 17">
      <tableStyleElement dxfId="7" type="firstRowStripe"/>
      <tableStyleElement dxfId="6" type="secondRowStripe"/>
    </tableStyle>
    <tableStyle count="2" pivot="0" name="TestCase Coverage-style 18">
      <tableStyleElement dxfId="6" type="firstRowStripe"/>
      <tableStyleElement dxfId="7" type="secondRowStripe"/>
    </tableStyle>
    <tableStyle count="2" pivot="0" name="TestCase Coverage-style 19">
      <tableStyleElement dxfId="6" type="firstRowStripe"/>
      <tableStyleElement dxfId="7" type="secondRowStripe"/>
    </tableStyle>
    <tableStyle count="2" pivot="0" name="TestCase Coverage-style 20">
      <tableStyleElement dxfId="6" type="firstRowStripe"/>
      <tableStyleElement dxfId="7" type="secondRowStripe"/>
    </tableStyle>
    <tableStyle count="2" pivot="0" name="Sheet1-style">
      <tableStyleElement dxfId="6" type="firstRowStripe"/>
      <tableStyleElement dxfId="7" type="secondRowStripe"/>
    </tableStyle>
    <tableStyle count="2" pivot="0" name="Sheet1-style 2">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808080"/>
                </a:solidFill>
                <a:latin typeface="Calibri"/>
              </a:defRPr>
            </a:pPr>
            <a:r>
              <a:rPr b="1" i="0" sz="1200">
                <a:solidFill>
                  <a:srgbClr val="808080"/>
                </a:solidFill>
                <a:latin typeface="Calibri"/>
              </a:rPr>
              <a:t>QA TEST COVERAGE OF SPRINT 3</a:t>
            </a:r>
          </a:p>
        </c:rich>
      </c:tx>
      <c:layout>
        <c:manualLayout>
          <c:xMode val="edge"/>
          <c:yMode val="edge"/>
          <c:x val="0.34534"/>
          <c:y val="0.0"/>
        </c:manualLayout>
      </c:layout>
      <c:overlay val="0"/>
    </c:title>
    <c:plotArea>
      <c:layout>
        <c:manualLayout>
          <c:xMode val="edge"/>
          <c:yMode val="edge"/>
          <c:x val="0.0177344"/>
          <c:y val="0.193353"/>
          <c:w val="0.977266"/>
          <c:h val="0.642009"/>
        </c:manualLayout>
      </c:layout>
      <c:barChart>
        <c:barDir val="col"/>
        <c:ser>
          <c:idx val="0"/>
          <c:order val="0"/>
          <c:tx>
            <c:v>Pass</c:v>
          </c:tx>
          <c:spPr>
            <a:solidFill>
              <a:schemeClr val="accent1"/>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Summary'!$N$6</c:f>
              <c:numCache/>
            </c:numRef>
          </c:val>
        </c:ser>
        <c:ser>
          <c:idx val="1"/>
          <c:order val="1"/>
          <c:tx>
            <c:v>Fail</c:v>
          </c:tx>
          <c:spPr>
            <a:solidFill>
              <a:schemeClr val="accent2"/>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Summary'!$O$6</c:f>
              <c:numCache/>
            </c:numRef>
          </c:val>
        </c:ser>
        <c:ser>
          <c:idx val="2"/>
          <c:order val="2"/>
          <c:tx>
            <c:v>Blocked</c:v>
          </c:tx>
          <c:spPr>
            <a:solidFill>
              <a:schemeClr val="accent3"/>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Summary'!$P$6</c:f>
              <c:numCache/>
            </c:numRef>
          </c:val>
        </c:ser>
        <c:ser>
          <c:idx val="3"/>
          <c:order val="3"/>
          <c:tx>
            <c:v>Deferred</c:v>
          </c:tx>
          <c:spPr>
            <a:solidFill>
              <a:schemeClr val="accent4"/>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Summary'!$Q$6</c:f>
              <c:numCache/>
            </c:numRef>
          </c:val>
        </c:ser>
        <c:ser>
          <c:idx val="4"/>
          <c:order val="4"/>
          <c:tx>
            <c:v>Pending</c:v>
          </c:tx>
          <c:spPr>
            <a:solidFill>
              <a:schemeClr val="accent5"/>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Summary'!$R$6</c:f>
              <c:numCache/>
            </c:numRef>
          </c:val>
        </c:ser>
        <c:axId val="912907679"/>
        <c:axId val="1346384969"/>
      </c:barChart>
      <c:catAx>
        <c:axId val="9129076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900">
                <a:solidFill>
                  <a:srgbClr val="FFFFFF"/>
                </a:solidFill>
                <a:latin typeface="Calibri"/>
              </a:defRPr>
            </a:pPr>
          </a:p>
        </c:txPr>
        <c:crossAx val="1346384969"/>
      </c:catAx>
      <c:valAx>
        <c:axId val="134638496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900">
                <a:solidFill>
                  <a:srgbClr val="595959"/>
                </a:solidFill>
                <a:latin typeface="Calibri"/>
              </a:defRPr>
            </a:pPr>
          </a:p>
        </c:txPr>
        <c:crossAx val="912907679"/>
        <c:majorUnit val="17.5"/>
        <c:minorUnit val="8.75"/>
      </c:valAx>
    </c:plotArea>
    <c:legend>
      <c:legendPos val="b"/>
      <c:layout>
        <c:manualLayout>
          <c:xMode val="edge"/>
          <c:yMode val="edge"/>
          <c:x val="0.271727"/>
          <c:y val="0.939575"/>
        </c:manualLayout>
      </c:layout>
      <c:overlay val="0"/>
      <c:txPr>
        <a:bodyPr/>
        <a:lstStyle/>
        <a:p>
          <a:pPr lvl="0">
            <a:defRPr b="0" i="0" sz="900">
              <a:solidFill>
                <a:srgbClr val="595959"/>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808080"/>
                </a:solidFill>
                <a:latin typeface="Calibri"/>
              </a:defRPr>
            </a:pPr>
            <a:r>
              <a:rPr b="1" i="0" sz="1200">
                <a:solidFill>
                  <a:srgbClr val="808080"/>
                </a:solidFill>
                <a:latin typeface="Calibri"/>
              </a:rPr>
              <a:t>QA DEFECT STATUS OF SPRINT 3</a:t>
            </a:r>
          </a:p>
        </c:rich>
      </c:tx>
      <c:layout>
        <c:manualLayout>
          <c:xMode val="edge"/>
          <c:yMode val="edge"/>
          <c:x val="0.349364"/>
          <c:y val="0.0"/>
        </c:manualLayout>
      </c:layout>
      <c:overlay val="0"/>
    </c:title>
    <c:plotArea>
      <c:layout>
        <c:manualLayout>
          <c:xMode val="edge"/>
          <c:yMode val="edge"/>
          <c:x val="0.0178839"/>
          <c:y val="0.123443"/>
          <c:w val="0.977116"/>
          <c:h val="0.698733"/>
        </c:manualLayout>
      </c:layout>
      <c:barChart>
        <c:barDir val="col"/>
        <c:grouping val="stacked"/>
        <c:ser>
          <c:idx val="0"/>
          <c:order val="0"/>
          <c:tx>
            <c:v>P0</c:v>
          </c:tx>
          <c:spPr>
            <a:solidFill>
              <a:schemeClr val="accent2"/>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Summary'!$B$22:$B$24</c:f>
            </c:strRef>
          </c:cat>
          <c:val>
            <c:numRef>
              <c:f>'Overall Summary'!$D$22:$D$24</c:f>
              <c:numCache/>
            </c:numRef>
          </c:val>
        </c:ser>
        <c:ser>
          <c:idx val="1"/>
          <c:order val="1"/>
          <c:tx>
            <c:v>P1</c:v>
          </c:tx>
          <c:spPr>
            <a:solidFill>
              <a:schemeClr val="accent3"/>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Summary'!$B$22:$B$24</c:f>
            </c:strRef>
          </c:cat>
          <c:val>
            <c:numRef>
              <c:f>'Overall Summary'!$E$22:$E$24</c:f>
              <c:numCache/>
            </c:numRef>
          </c:val>
        </c:ser>
        <c:ser>
          <c:idx val="2"/>
          <c:order val="2"/>
          <c:tx>
            <c:v>P2</c:v>
          </c:tx>
          <c:spPr>
            <a:solidFill>
              <a:schemeClr val="accent4"/>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Summary'!$B$22:$B$24</c:f>
            </c:strRef>
          </c:cat>
          <c:val>
            <c:numRef>
              <c:f>'Overall Summary'!$F$22:$F$24</c:f>
              <c:numCache/>
            </c:numRef>
          </c:val>
        </c:ser>
        <c:ser>
          <c:idx val="3"/>
          <c:order val="3"/>
          <c:tx>
            <c:v>P3</c:v>
          </c:tx>
          <c:spPr>
            <a:solidFill>
              <a:schemeClr val="accent5"/>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Summary'!$B$22:$B$24</c:f>
            </c:strRef>
          </c:cat>
          <c:val>
            <c:numRef>
              <c:f>'Overall Summary'!$G$22:$G$24</c:f>
              <c:numCache/>
            </c:numRef>
          </c:val>
        </c:ser>
        <c:ser>
          <c:idx val="4"/>
          <c:order val="4"/>
          <c:tx>
            <c:v>P4</c:v>
          </c:tx>
          <c:spPr>
            <a:solidFill>
              <a:schemeClr val="accent6"/>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Summary'!$B$22:$B$24</c:f>
            </c:strRef>
          </c:cat>
          <c:val>
            <c:numRef>
              <c:f>'Overall Summary'!$H$22:$H$24</c:f>
              <c:numCache/>
            </c:numRef>
          </c:val>
        </c:ser>
        <c:overlap val="100"/>
        <c:axId val="45396278"/>
        <c:axId val="1461205356"/>
      </c:barChart>
      <c:catAx>
        <c:axId val="453962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900">
                <a:solidFill>
                  <a:srgbClr val="595959"/>
                </a:solidFill>
                <a:latin typeface="Calibri"/>
              </a:defRPr>
            </a:pPr>
          </a:p>
        </c:txPr>
        <c:crossAx val="1461205356"/>
      </c:catAx>
      <c:valAx>
        <c:axId val="146120535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900">
                <a:solidFill>
                  <a:srgbClr val="595959"/>
                </a:solidFill>
                <a:latin typeface="Calibri"/>
              </a:defRPr>
            </a:pPr>
          </a:p>
        </c:txPr>
        <c:crossAx val="45396278"/>
        <c:majorUnit val="4.5"/>
        <c:minorUnit val="2.25"/>
      </c:valAx>
    </c:plotArea>
    <c:legend>
      <c:legendPos val="b"/>
      <c:layout>
        <c:manualLayout>
          <c:xMode val="edge"/>
          <c:yMode val="edge"/>
          <c:x val="0.337895"/>
          <c:y val="0.935421"/>
        </c:manualLayout>
      </c:layout>
      <c:overlay val="0"/>
      <c:txPr>
        <a:bodyPr/>
        <a:lstStyle/>
        <a:p>
          <a:pPr lvl="0">
            <a:defRPr b="0" i="0" sz="900">
              <a:solidFill>
                <a:srgbClr val="595959"/>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808080"/>
                </a:solidFill>
                <a:latin typeface="Calibri"/>
              </a:defRPr>
            </a:pPr>
            <a:r>
              <a:rPr b="1" i="0" sz="1200">
                <a:solidFill>
                  <a:srgbClr val="808080"/>
                </a:solidFill>
                <a:latin typeface="Calibri"/>
              </a:rPr>
              <a:t>QA STATUS OF SPRINT 3</a:t>
            </a:r>
          </a:p>
        </c:rich>
      </c:tx>
      <c:layout>
        <c:manualLayout>
          <c:xMode val="edge"/>
          <c:yMode val="edge"/>
          <c:x val="0.3765230624024961"/>
          <c:y val="0.0"/>
        </c:manualLayout>
      </c:layout>
      <c:overlay val="0"/>
    </c:title>
    <c:plotArea>
      <c:layout>
        <c:manualLayout>
          <c:xMode val="edge"/>
          <c:yMode val="edge"/>
          <c:x val="0.0172316"/>
          <c:y val="0.117452"/>
          <c:w val="0.950814"/>
          <c:h val="0.706538"/>
        </c:manualLayout>
      </c:layout>
      <c:barChart>
        <c:barDir val="col"/>
        <c:grouping val="stacked"/>
        <c:ser>
          <c:idx val="0"/>
          <c:order val="0"/>
          <c:tx>
            <c:v>stories ready for QA</c:v>
          </c:tx>
          <c:spPr>
            <a:solidFill>
              <a:schemeClr val="accent2"/>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Summary'!$L$22:$L$23</c:f>
            </c:strRef>
          </c:cat>
          <c:val>
            <c:numRef>
              <c:f>'Overall Summary'!$N$22:$N$23</c:f>
              <c:numCache/>
            </c:numRef>
          </c:val>
        </c:ser>
        <c:ser>
          <c:idx val="1"/>
          <c:order val="1"/>
          <c:tx>
            <c:v>stories QA In-Progress</c:v>
          </c:tx>
          <c:spPr>
            <a:solidFill>
              <a:schemeClr val="accent3"/>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Summary'!$L$22:$L$23</c:f>
            </c:strRef>
          </c:cat>
          <c:val>
            <c:numRef>
              <c:f>'Overall Summary'!$O$22:$O$23</c:f>
              <c:numCache/>
            </c:numRef>
          </c:val>
        </c:ser>
        <c:ser>
          <c:idx val="2"/>
          <c:order val="2"/>
          <c:tx>
            <c:v>stories QA Completed</c:v>
          </c:tx>
          <c:spPr>
            <a:solidFill>
              <a:schemeClr val="accent4"/>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Summary'!$L$22:$L$23</c:f>
            </c:strRef>
          </c:cat>
          <c:val>
            <c:numRef>
              <c:f>'Overall Summary'!$P$22:$P$23</c:f>
              <c:numCache/>
            </c:numRef>
          </c:val>
        </c:ser>
        <c:ser>
          <c:idx val="3"/>
          <c:order val="3"/>
          <c:tx>
            <c:v>stories ready for UAT</c:v>
          </c:tx>
          <c:spPr>
            <a:solidFill>
              <a:schemeClr val="accent5"/>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Summary'!$L$22:$L$23</c:f>
            </c:strRef>
          </c:cat>
          <c:val>
            <c:numRef>
              <c:f>'Overall Summary'!$Q$22:$Q$23</c:f>
              <c:numCache/>
            </c:numRef>
          </c:val>
        </c:ser>
        <c:ser>
          <c:idx val="4"/>
          <c:order val="4"/>
          <c:tx>
            <c:v>UAT Completed</c:v>
          </c:tx>
          <c:spPr>
            <a:solidFill>
              <a:schemeClr val="accent6"/>
            </a:solidFill>
            <a:ln cmpd="sng">
              <a:solidFill>
                <a:srgbClr val="000000"/>
              </a:solidFill>
            </a:ln>
          </c:spPr>
          <c:dLbls>
            <c:numFmt formatCode="General" sourceLinked="1"/>
            <c:txPr>
              <a:bodyPr/>
              <a:lstStyle/>
              <a:p>
                <a:pPr lvl="0">
                  <a:defRPr b="1" i="0" sz="900">
                    <a:solidFill>
                      <a:srgbClr val="404040"/>
                    </a:solidFill>
                    <a:latin typeface="Calibri"/>
                  </a:defRPr>
                </a:pPr>
              </a:p>
            </c:txPr>
            <c:showLegendKey val="0"/>
            <c:showVal val="1"/>
            <c:showCatName val="0"/>
            <c:showSerName val="0"/>
            <c:showPercent val="0"/>
            <c:showBubbleSize val="0"/>
          </c:dLbls>
          <c:cat>
            <c:strRef>
              <c:f>'Overall Summary'!$L$22:$L$23</c:f>
            </c:strRef>
          </c:cat>
          <c:val>
            <c:numRef>
              <c:f>'Overall Summary'!$R$22:$R$23</c:f>
              <c:numCache/>
            </c:numRef>
          </c:val>
        </c:ser>
        <c:overlap val="100"/>
        <c:axId val="2000735936"/>
        <c:axId val="738673888"/>
      </c:barChart>
      <c:catAx>
        <c:axId val="2000735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900">
                <a:solidFill>
                  <a:srgbClr val="595959"/>
                </a:solidFill>
                <a:latin typeface="Calibri"/>
              </a:defRPr>
            </a:pPr>
          </a:p>
        </c:txPr>
        <c:crossAx val="738673888"/>
      </c:catAx>
      <c:valAx>
        <c:axId val="73867388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900">
                <a:solidFill>
                  <a:srgbClr val="595959"/>
                </a:solidFill>
                <a:latin typeface="Calibri"/>
              </a:defRPr>
            </a:pPr>
          </a:p>
        </c:txPr>
        <c:crossAx val="2000735936"/>
        <c:majorUnit val="4.0"/>
        <c:minorUnit val="2.0"/>
      </c:valAx>
    </c:plotArea>
    <c:legend>
      <c:legendPos val="b"/>
      <c:layout>
        <c:manualLayout>
          <c:xMode val="edge"/>
          <c:yMode val="edge"/>
          <c:x val="0.00936585"/>
          <c:y val="0.937949"/>
        </c:manualLayout>
      </c:layout>
      <c:overlay val="0"/>
      <c:txPr>
        <a:bodyPr/>
        <a:lstStyle/>
        <a:p>
          <a:pPr lvl="0">
            <a:defRPr b="0" i="0" sz="900">
              <a:solidFill>
                <a:srgbClr val="595959"/>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808080"/>
                </a:solidFill>
                <a:latin typeface="Calibri"/>
              </a:defRPr>
            </a:pPr>
            <a:r>
              <a:rPr b="1" i="0" sz="1200">
                <a:solidFill>
                  <a:srgbClr val="808080"/>
                </a:solidFill>
                <a:latin typeface="Calibri"/>
              </a:rPr>
              <a:t>QE AUTOMATION COVERAGE</a:t>
            </a:r>
          </a:p>
        </c:rich>
      </c:tx>
      <c:layout>
        <c:manualLayout>
          <c:xMode val="edge"/>
          <c:yMode val="edge"/>
          <c:x val="0.362056"/>
          <c:y val="0.0"/>
        </c:manualLayout>
      </c:layout>
      <c:overlay val="0"/>
    </c:title>
    <c:plotArea>
      <c:layout>
        <c:manualLayout>
          <c:xMode val="edge"/>
          <c:yMode val="edge"/>
          <c:x val="0.0368748"/>
          <c:y val="0.121317"/>
          <c:w val="0.928772"/>
          <c:h val="0.737014"/>
        </c:manualLayout>
      </c:layout>
      <c:barChart>
        <c:barDir val="col"/>
        <c:ser>
          <c:idx val="0"/>
          <c:order val="0"/>
          <c:tx>
            <c:v>Automation Candidates</c:v>
          </c:tx>
          <c:spPr>
            <a:solidFill>
              <a:schemeClr val="accent2"/>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Summary'!$B$31</c:f>
              <c:numCache/>
            </c:numRef>
          </c:val>
        </c:ser>
        <c:ser>
          <c:idx val="1"/>
          <c:order val="1"/>
          <c:tx>
            <c:v>Cannot Be Automated</c:v>
          </c:tx>
          <c:spPr>
            <a:solidFill>
              <a:schemeClr val="accent6"/>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Summary'!$D$31</c:f>
              <c:numCache/>
            </c:numRef>
          </c:val>
        </c:ser>
        <c:ser>
          <c:idx val="2"/>
          <c:order val="2"/>
          <c:tx>
            <c:v>Automated Tests</c:v>
          </c:tx>
          <c:spPr>
            <a:solidFill>
              <a:srgbClr val="997300"/>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Summary'!$F$31</c:f>
              <c:numCache/>
            </c:numRef>
          </c:val>
        </c:ser>
        <c:ser>
          <c:idx val="3"/>
          <c:order val="3"/>
          <c:tx>
            <c:v>Pending TCs for Automation</c:v>
          </c:tx>
          <c:spPr>
            <a:solidFill>
              <a:srgbClr val="F1975A"/>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Summary'!$H$31</c:f>
              <c:numCache/>
            </c:numRef>
          </c:val>
        </c:ser>
        <c:ser>
          <c:idx val="4"/>
          <c:order val="4"/>
          <c:tx>
            <c:v>Partially Automated - Feature not developed</c:v>
          </c:tx>
          <c:spPr>
            <a:solidFill>
              <a:srgbClr val="8CC168"/>
            </a:solidFill>
            <a:ln cmpd="sng">
              <a:solidFill>
                <a:srgbClr val="000000"/>
              </a:solidFill>
            </a:ln>
          </c:spPr>
          <c:dLbls>
            <c:numFmt formatCode="General" sourceLinked="1"/>
            <c:txPr>
              <a:bodyPr/>
              <a:lstStyle/>
              <a:p>
                <a:pPr lvl="0">
                  <a:defRPr b="0" i="0" sz="900">
                    <a:solidFill>
                      <a:srgbClr val="404040"/>
                    </a:solidFill>
                    <a:latin typeface="Calibri"/>
                  </a:defRPr>
                </a:pPr>
              </a:p>
            </c:txPr>
            <c:showLegendKey val="0"/>
            <c:showVal val="1"/>
            <c:showCatName val="0"/>
            <c:showSerName val="0"/>
            <c:showPercent val="0"/>
            <c:showBubbleSize val="0"/>
          </c:dLbls>
          <c:val>
            <c:numRef>
              <c:f>'Overall Summary'!$J$31</c:f>
              <c:numCache/>
            </c:numRef>
          </c:val>
        </c:ser>
        <c:axId val="751020559"/>
        <c:axId val="732511049"/>
      </c:barChart>
      <c:catAx>
        <c:axId val="751020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i="0" sz="900">
                <a:solidFill>
                  <a:srgbClr val="FFFFFF"/>
                </a:solidFill>
                <a:latin typeface="Calibri"/>
              </a:defRPr>
            </a:pPr>
          </a:p>
        </c:txPr>
        <c:crossAx val="732511049"/>
      </c:catAx>
      <c:valAx>
        <c:axId val="73251104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rot="0"/>
          <a:lstStyle/>
          <a:p>
            <a:pPr lvl="0">
              <a:defRPr b="0" i="0" sz="900">
                <a:solidFill>
                  <a:srgbClr val="595959"/>
                </a:solidFill>
                <a:latin typeface="Calibri"/>
              </a:defRPr>
            </a:pPr>
          </a:p>
        </c:txPr>
        <c:crossAx val="751020559"/>
        <c:majorUnit val="12.5"/>
        <c:minorUnit val="6.25"/>
      </c:valAx>
    </c:plotArea>
    <c:legend>
      <c:legendPos val="b"/>
      <c:layout>
        <c:manualLayout>
          <c:xMode val="edge"/>
          <c:yMode val="edge"/>
          <c:x val="0.0"/>
          <c:y val="0.885136"/>
        </c:manualLayout>
      </c:layout>
      <c:overlay val="0"/>
      <c:txPr>
        <a:bodyPr/>
        <a:lstStyle/>
        <a:p>
          <a:pPr lvl="0">
            <a:defRPr b="0" i="0" sz="900">
              <a:solidFill>
                <a:srgbClr val="595959"/>
              </a:solidFill>
              <a:latin typeface="Calibri"/>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1</xdr:row>
      <xdr:rowOff>19050</xdr:rowOff>
    </xdr:from>
    <xdr:ext cx="6086475" cy="2371725"/>
    <xdr:graphicFrame>
      <xdr:nvGraphicFramePr>
        <xdr:cNvPr id="220108009"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247650</xdr:colOff>
      <xdr:row>16</xdr:row>
      <xdr:rowOff>152400</xdr:rowOff>
    </xdr:from>
    <xdr:ext cx="5857875" cy="2305050"/>
    <xdr:graphicFrame>
      <xdr:nvGraphicFramePr>
        <xdr:cNvPr id="429901714"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123825</xdr:colOff>
      <xdr:row>16</xdr:row>
      <xdr:rowOff>152400</xdr:rowOff>
    </xdr:from>
    <xdr:ext cx="6105525" cy="2305050"/>
    <xdr:graphicFrame>
      <xdr:nvGraphicFramePr>
        <xdr:cNvPr id="625259134"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247650</xdr:colOff>
      <xdr:row>1</xdr:row>
      <xdr:rowOff>19050</xdr:rowOff>
    </xdr:from>
    <xdr:ext cx="5857875" cy="2371725"/>
    <xdr:graphicFrame>
      <xdr:nvGraphicFramePr>
        <xdr:cNvPr id="425500375"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590550"/>
    <xdr:sp>
      <xdr:nvSpPr>
        <xdr:cNvPr id="5" name="Shape 5"/>
        <xdr:cNvSpPr/>
      </xdr:nvSpPr>
      <xdr:spPr>
        <a:xfrm>
          <a:off x="5117400" y="3489488"/>
          <a:ext cx="457200" cy="581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9600"/>
    <xdr:sp>
      <xdr:nvSpPr>
        <xdr:cNvPr id="4" name="Shape 4"/>
        <xdr:cNvSpPr/>
      </xdr:nvSpPr>
      <xdr:spPr>
        <a:xfrm>
          <a:off x="5117400" y="3479963"/>
          <a:ext cx="457200" cy="6000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600075"/>
    <xdr:sp>
      <xdr:nvSpPr>
        <xdr:cNvPr id="3" name="Shape 3"/>
        <xdr:cNvSpPr/>
      </xdr:nvSpPr>
      <xdr:spPr>
        <a:xfrm>
          <a:off x="5117400" y="3484725"/>
          <a:ext cx="457200" cy="590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-9525</xdr:colOff>
      <xdr:row>21</xdr:row>
      <xdr:rowOff>0</xdr:rowOff>
    </xdr:from>
    <xdr:ext cx="466725" cy="590550"/>
    <xdr:sp>
      <xdr:nvSpPr>
        <xdr:cNvPr id="5" name="Shape 5"/>
        <xdr:cNvSpPr/>
      </xdr:nvSpPr>
      <xdr:spPr>
        <a:xfrm>
          <a:off x="5117400" y="3489488"/>
          <a:ext cx="457200" cy="581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A5" displayName="Table_1" name="Table_1" id="1">
  <tableColumns count="1">
    <tableColumn name="Column1" id="1"/>
  </tableColumns>
  <tableStyleInfo name="TestCase Coverage-style" showColumnStripes="0" showFirstColumn="1" showLastColumn="1" showRowStripes="1"/>
</table>
</file>

<file path=xl/tables/table2.xml><?xml version="1.0" encoding="utf-8"?>
<table xmlns="http://schemas.openxmlformats.org/spreadsheetml/2006/main" headerRowCount="0" ref="A7" displayName="Table_2" name="Table_2" id="2">
  <tableColumns count="1">
    <tableColumn name="Column1" id="1"/>
  </tableColumns>
  <tableStyleInfo name="TestCase Coverage-style 2" showColumnStripes="0" showFirstColumn="1" showLastColumn="1" showRowStripes="1"/>
</table>
</file>

<file path=xl/tables/table3.xml><?xml version="1.0" encoding="utf-8"?>
<table xmlns="http://schemas.openxmlformats.org/spreadsheetml/2006/main" headerRowCount="0" ref="A8:A9" displayName="Table_3" name="Table_3" id="3">
  <tableColumns count="1">
    <tableColumn name="Column1" id="1"/>
  </tableColumns>
  <tableStyleInfo name="TestCase Coverage-style 3" showColumnStripes="0" showFirstColumn="1" showLastColumn="1" showRowStripes="1"/>
</table>
</file>

<file path=xl/tables/table4.xml><?xml version="1.0" encoding="utf-8"?>
<table xmlns="http://schemas.openxmlformats.org/spreadsheetml/2006/main" headerRowCount="0" ref="A11" displayName="Table_4" name="Table_4" id="4">
  <tableColumns count="1">
    <tableColumn name="Column1" id="1"/>
  </tableColumns>
  <tableStyleInfo name="TestCase Coverage-style 4" showColumnStripes="0" showFirstColumn="1" showLastColumn="1" showRowStripes="1"/>
</table>
</file>

<file path=xl/tables/table5.xml><?xml version="1.0" encoding="utf-8"?>
<table xmlns="http://schemas.openxmlformats.org/spreadsheetml/2006/main" headerRowCount="0" ref="A15:A19" displayName="Table_5" name="Table_5" id="5">
  <tableColumns count="1">
    <tableColumn name="Column1" id="1"/>
  </tableColumns>
  <tableStyleInfo name="TestCase Coverage-style 5" showColumnStripes="0" showFirstColumn="1" showLastColumn="1" showRowStripes="1"/>
</table>
</file>

<file path=xl/tables/table6.xml><?xml version="1.0" encoding="utf-8"?>
<table xmlns="http://schemas.openxmlformats.org/spreadsheetml/2006/main" headerRowCount="0" ref="I15:J15" displayName="Table_6" name="Table_6" id="6">
  <tableColumns count="2">
    <tableColumn name="Column1" id="1"/>
    <tableColumn name="Column2" id="2"/>
  </tableColumns>
  <tableStyleInfo name="TestCase Coverage-style 6" showColumnStripes="0" showFirstColumn="1" showLastColumn="1" showRowStripes="1"/>
</table>
</file>

<file path=xl/tables/table7.xml><?xml version="1.0" encoding="utf-8"?>
<table xmlns="http://schemas.openxmlformats.org/spreadsheetml/2006/main" headerRowCount="0" ref="I16:J16" displayName="Table_7" name="Table_7" id="7">
  <tableColumns count="2">
    <tableColumn name="Column1" id="1"/>
    <tableColumn name="Column2" id="2"/>
  </tableColumns>
  <tableStyleInfo name="TestCase Coverage-style 7" showColumnStripes="0" showFirstColumn="1" showLastColumn="1" showRowStripes="1"/>
</table>
</file>

<file path=xl/tables/table8.xml><?xml version="1.0" encoding="utf-8"?>
<table xmlns="http://schemas.openxmlformats.org/spreadsheetml/2006/main" headerRowCount="0" ref="A22:J23"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stCase Coverage-style 8" showColumnStripes="0" showFirstColumn="1" showLastColumn="1" showRowStripes="1"/>
</table>
</file>

<file path=xl/tables/table9.xml><?xml version="1.0" encoding="utf-8"?>
<table xmlns="http://schemas.openxmlformats.org/spreadsheetml/2006/main" headerRowCount="0" ref="A24:J28" displayName="Table_9" name="Table_9" id="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stCase Coverage-style 9" showColumnStripes="0" showFirstColumn="1" showLastColumn="1" showRowStripes="1"/>
</table>
</file>

<file path=xl/tables/table10.xml><?xml version="1.0" encoding="utf-8"?>
<table xmlns="http://schemas.openxmlformats.org/spreadsheetml/2006/main" headerRowCount="0" ref="A29:K29" displayName="Table_10" name="Table_10" id="10">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estCase Coverage-style 10" showColumnStripes="0" showFirstColumn="1" showLastColumn="1" showRowStripes="1"/>
</table>
</file>

<file path=xl/tables/table11.xml><?xml version="1.0" encoding="utf-8"?>
<table xmlns="http://schemas.openxmlformats.org/spreadsheetml/2006/main" headerRowCount="0" ref="A30:F30" displayName="Table_11" name="Table_11" id="11">
  <tableColumns count="6">
    <tableColumn name="Column1" id="1"/>
    <tableColumn name="Column2" id="2"/>
    <tableColumn name="Column3" id="3"/>
    <tableColumn name="Column4" id="4"/>
    <tableColumn name="Column5" id="5"/>
    <tableColumn name="Column6" id="6"/>
  </tableColumns>
  <tableStyleInfo name="TestCase Coverage-style 11" showColumnStripes="0" showFirstColumn="1" showLastColumn="1" showRowStripes="1"/>
</table>
</file>

<file path=xl/tables/table12.xml><?xml version="1.0" encoding="utf-8"?>
<table xmlns="http://schemas.openxmlformats.org/spreadsheetml/2006/main" headerRowCount="0" ref="G30:J30" displayName="Table_12" name="Table_12" id="12">
  <tableColumns count="4">
    <tableColumn name="Column1" id="1"/>
    <tableColumn name="Column2" id="2"/>
    <tableColumn name="Column3" id="3"/>
    <tableColumn name="Column4" id="4"/>
  </tableColumns>
  <tableStyleInfo name="TestCase Coverage-style 12" showColumnStripes="0" showFirstColumn="1" showLastColumn="1" showRowStripes="1"/>
</table>
</file>

<file path=xl/tables/table13.xml><?xml version="1.0" encoding="utf-8"?>
<table xmlns="http://schemas.openxmlformats.org/spreadsheetml/2006/main" headerRowCount="0" ref="A31:F33" displayName="Table_13" name="Table_13" id="13">
  <tableColumns count="6">
    <tableColumn name="Column1" id="1"/>
    <tableColumn name="Column2" id="2"/>
    <tableColumn name="Column3" id="3"/>
    <tableColumn name="Column4" id="4"/>
    <tableColumn name="Column5" id="5"/>
    <tableColumn name="Column6" id="6"/>
  </tableColumns>
  <tableStyleInfo name="TestCase Coverage-style 13" showColumnStripes="0" showFirstColumn="1" showLastColumn="1" showRowStripes="1"/>
</table>
</file>

<file path=xl/tables/table14.xml><?xml version="1.0" encoding="utf-8"?>
<table xmlns="http://schemas.openxmlformats.org/spreadsheetml/2006/main" headerRowCount="0" ref="G31:J34" displayName="Table_14" name="Table_14" id="14">
  <tableColumns count="4">
    <tableColumn name="Column1" id="1"/>
    <tableColumn name="Column2" id="2"/>
    <tableColumn name="Column3" id="3"/>
    <tableColumn name="Column4" id="4"/>
  </tableColumns>
  <tableStyleInfo name="TestCase Coverage-style 14" showColumnStripes="0" showFirstColumn="1" showLastColumn="1" showRowStripes="1"/>
</table>
</file>

<file path=xl/tables/table15.xml><?xml version="1.0" encoding="utf-8"?>
<table xmlns="http://schemas.openxmlformats.org/spreadsheetml/2006/main" headerRowCount="0" ref="A35:J35" displayName="Table_15" name="Table_15" id="1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stCase Coverage-style 15" showColumnStripes="0" showFirstColumn="1" showLastColumn="1" showRowStripes="1"/>
</table>
</file>

<file path=xl/tables/table16.xml><?xml version="1.0" encoding="utf-8"?>
<table xmlns="http://schemas.openxmlformats.org/spreadsheetml/2006/main" headerRowCount="0" ref="A36:J37" displayName="Table_16" name="Table_16" id="16">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stCase Coverage-style 16" showColumnStripes="0" showFirstColumn="1" showLastColumn="1" showRowStripes="1"/>
</table>
</file>

<file path=xl/tables/table17.xml><?xml version="1.0" encoding="utf-8"?>
<table xmlns="http://schemas.openxmlformats.org/spreadsheetml/2006/main" headerRowCount="0" ref="A38:J38" displayName="Table_17" name="Table_17" id="17">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TestCase Coverage-style 17" showColumnStripes="0" showFirstColumn="1" showLastColumn="1" showRowStripes="1"/>
</table>
</file>

<file path=xl/tables/table18.xml><?xml version="1.0" encoding="utf-8"?>
<table xmlns="http://schemas.openxmlformats.org/spreadsheetml/2006/main" headerRowCount="0" ref="A39:B39" displayName="Table_18" name="Table_18" id="18">
  <tableColumns count="2">
    <tableColumn name="Column1" id="1"/>
    <tableColumn name="Column2" id="2"/>
  </tableColumns>
  <tableStyleInfo name="TestCase Coverage-style 18" showColumnStripes="0" showFirstColumn="1" showLastColumn="1" showRowStripes="1"/>
</table>
</file>

<file path=xl/tables/table19.xml><?xml version="1.0" encoding="utf-8"?>
<table xmlns="http://schemas.openxmlformats.org/spreadsheetml/2006/main" headerRowCount="0" ref="G39:J39" displayName="Table_19" name="Table_19" id="19">
  <tableColumns count="4">
    <tableColumn name="Column1" id="1"/>
    <tableColumn name="Column2" id="2"/>
    <tableColumn name="Column3" id="3"/>
    <tableColumn name="Column4" id="4"/>
  </tableColumns>
  <tableStyleInfo name="TestCase Coverage-style 19" showColumnStripes="0" showFirstColumn="1" showLastColumn="1" showRowStripes="1"/>
</table>
</file>

<file path=xl/tables/table20.xml><?xml version="1.0" encoding="utf-8"?>
<table xmlns="http://schemas.openxmlformats.org/spreadsheetml/2006/main" headerRowCount="0" ref="A40:T131" displayName="Table_20" name="Table_20" id="20">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TestCase Coverage-style 20" showColumnStripes="0" showFirstColumn="1" showLastColumn="1" showRowStripes="1"/>
</table>
</file>

<file path=xl/tables/table21.xml><?xml version="1.0" encoding="utf-8"?>
<table xmlns="http://schemas.openxmlformats.org/spreadsheetml/2006/main" headerRowCount="0" ref="J12" displayName="Table_21" name="Table_21" id="21">
  <tableColumns count="1">
    <tableColumn name="Column1" id="1"/>
  </tableColumns>
  <tableStyleInfo name="Sheet1-style" showColumnStripes="0" showFirstColumn="1" showLastColumn="1" showRowStripes="1"/>
</table>
</file>

<file path=xl/tables/table22.xml><?xml version="1.0" encoding="utf-8"?>
<table xmlns="http://schemas.openxmlformats.org/spreadsheetml/2006/main" headerRowCount="0" ref="J13" displayName="Table_22" name="Table_22" id="22">
  <tableColumns count="1">
    <tableColumn name="Column1" id="1"/>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table" Target="../tables/table7.xml"/><Relationship Id="rId42" Type="http://schemas.openxmlformats.org/officeDocument/2006/relationships/table" Target="../tables/table9.xml"/><Relationship Id="rId41" Type="http://schemas.openxmlformats.org/officeDocument/2006/relationships/table" Target="../tables/table8.xml"/><Relationship Id="rId44" Type="http://schemas.openxmlformats.org/officeDocument/2006/relationships/table" Target="../tables/table11.xml"/><Relationship Id="rId43" Type="http://schemas.openxmlformats.org/officeDocument/2006/relationships/table" Target="../tables/table10.xml"/><Relationship Id="rId46" Type="http://schemas.openxmlformats.org/officeDocument/2006/relationships/table" Target="../tables/table13.xml"/><Relationship Id="rId45" Type="http://schemas.openxmlformats.org/officeDocument/2006/relationships/table" Target="../tables/table12.xml"/><Relationship Id="rId1" Type="http://schemas.openxmlformats.org/officeDocument/2006/relationships/hyperlink" Target="https://rubrik.atlassian.net/browse/PRDOPS-490" TargetMode="External"/><Relationship Id="rId2" Type="http://schemas.openxmlformats.org/officeDocument/2006/relationships/hyperlink" Target="https://rubrik.atlassian.net/browse/PRDOPS-415" TargetMode="External"/><Relationship Id="rId3" Type="http://schemas.openxmlformats.org/officeDocument/2006/relationships/hyperlink" Target="https://rubrik.atlassian.net/browse/PRDOPS-413" TargetMode="External"/><Relationship Id="rId4" Type="http://schemas.openxmlformats.org/officeDocument/2006/relationships/hyperlink" Target="https://rubrik.atlassian.net/browse/PRDOPS-477" TargetMode="External"/><Relationship Id="rId9" Type="http://schemas.openxmlformats.org/officeDocument/2006/relationships/hyperlink" Target="https://rubrik.atlassian.net/browse/PRDOPS-413" TargetMode="External"/><Relationship Id="rId48" Type="http://schemas.openxmlformats.org/officeDocument/2006/relationships/table" Target="../tables/table15.xml"/><Relationship Id="rId47" Type="http://schemas.openxmlformats.org/officeDocument/2006/relationships/table" Target="../tables/table14.xml"/><Relationship Id="rId49" Type="http://schemas.openxmlformats.org/officeDocument/2006/relationships/table" Target="../tables/table16.xml"/><Relationship Id="rId5" Type="http://schemas.openxmlformats.org/officeDocument/2006/relationships/hyperlink" Target="https://rubrik.atlassian.net/browse/PRDOPS-470" TargetMode="External"/><Relationship Id="rId6" Type="http://schemas.openxmlformats.org/officeDocument/2006/relationships/hyperlink" Target="https://rubrik.atlassian.net/browse/PRDOPS-23" TargetMode="External"/><Relationship Id="rId7" Type="http://schemas.openxmlformats.org/officeDocument/2006/relationships/hyperlink" Target="https://rubrik.atlassian.net/browse/PRDOPS-490" TargetMode="External"/><Relationship Id="rId8" Type="http://schemas.openxmlformats.org/officeDocument/2006/relationships/hyperlink" Target="https://rubrik.atlassian.net/browse/PRDOPS-415" TargetMode="External"/><Relationship Id="rId51" Type="http://schemas.openxmlformats.org/officeDocument/2006/relationships/table" Target="../tables/table18.xml"/><Relationship Id="rId50" Type="http://schemas.openxmlformats.org/officeDocument/2006/relationships/table" Target="../tables/table17.xml"/><Relationship Id="rId53" Type="http://schemas.openxmlformats.org/officeDocument/2006/relationships/table" Target="../tables/table20.xml"/><Relationship Id="rId52" Type="http://schemas.openxmlformats.org/officeDocument/2006/relationships/table" Target="../tables/table19.xml"/><Relationship Id="rId11" Type="http://schemas.openxmlformats.org/officeDocument/2006/relationships/hyperlink" Target="https://rubrik.atlassian.net/browse/PRDOPS-470" TargetMode="External"/><Relationship Id="rId10" Type="http://schemas.openxmlformats.org/officeDocument/2006/relationships/hyperlink" Target="https://rubrik.atlassian.net/browse/PRDOPS-477" TargetMode="External"/><Relationship Id="rId13" Type="http://schemas.openxmlformats.org/officeDocument/2006/relationships/drawing" Target="../drawings/drawing3.xml"/><Relationship Id="rId35" Type="http://schemas.openxmlformats.org/officeDocument/2006/relationships/table" Target="../tables/table2.xml"/><Relationship Id="rId12" Type="http://schemas.openxmlformats.org/officeDocument/2006/relationships/hyperlink" Target="https://rubrik.atlassian.net/browse/PRDOPS-23" TargetMode="External"/><Relationship Id="rId34" Type="http://schemas.openxmlformats.org/officeDocument/2006/relationships/table" Target="../tables/table1.xml"/><Relationship Id="rId37" Type="http://schemas.openxmlformats.org/officeDocument/2006/relationships/table" Target="../tables/table4.xml"/><Relationship Id="rId36" Type="http://schemas.openxmlformats.org/officeDocument/2006/relationships/table" Target="../tables/table3.xml"/><Relationship Id="rId39" Type="http://schemas.openxmlformats.org/officeDocument/2006/relationships/table" Target="../tables/table6.xml"/><Relationship Id="rId3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21.xml"/><Relationship Id="rId5"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9.14"/>
  </cols>
  <sheetData>
    <row r="1" ht="13.5" customHeight="1">
      <c r="A1" s="1"/>
      <c r="B1" s="2"/>
      <c r="C1" s="2"/>
      <c r="D1" s="2"/>
      <c r="E1" s="2"/>
      <c r="F1" s="2"/>
      <c r="G1" s="2"/>
      <c r="H1" s="2"/>
      <c r="I1" s="2"/>
      <c r="J1" s="2"/>
      <c r="K1" s="2"/>
      <c r="L1" s="2"/>
      <c r="M1" s="2"/>
      <c r="N1" s="2"/>
      <c r="O1" s="2"/>
      <c r="P1" s="2"/>
      <c r="Q1" s="2"/>
      <c r="R1" s="2"/>
      <c r="S1" s="2"/>
      <c r="T1" s="2"/>
      <c r="U1" s="3"/>
      <c r="V1" s="4"/>
      <c r="W1" s="4"/>
      <c r="X1" s="4"/>
      <c r="Y1" s="4"/>
      <c r="Z1" s="4"/>
    </row>
    <row r="2" ht="13.5" customHeight="1">
      <c r="A2" s="5"/>
      <c r="B2" s="6"/>
      <c r="C2" s="6"/>
      <c r="D2" s="6"/>
      <c r="E2" s="6"/>
      <c r="F2" s="6"/>
      <c r="G2" s="6"/>
      <c r="H2" s="6"/>
      <c r="I2" s="6"/>
      <c r="J2" s="6"/>
      <c r="K2" s="6"/>
      <c r="L2" s="6"/>
      <c r="M2" s="6"/>
      <c r="N2" s="6"/>
      <c r="O2" s="6"/>
      <c r="P2" s="6"/>
      <c r="Q2" s="6"/>
      <c r="R2" s="6"/>
      <c r="S2" s="6"/>
      <c r="T2" s="6"/>
      <c r="U2" s="7"/>
      <c r="V2" s="4"/>
      <c r="W2" s="4"/>
      <c r="X2" s="4"/>
      <c r="Y2" s="4"/>
      <c r="Z2" s="4"/>
    </row>
    <row r="3" ht="13.5" customHeight="1">
      <c r="A3" s="5"/>
      <c r="B3" s="6"/>
      <c r="C3" s="6"/>
      <c r="D3" s="6"/>
      <c r="E3" s="6"/>
      <c r="F3" s="6"/>
      <c r="G3" s="6"/>
      <c r="H3" s="6"/>
      <c r="I3" s="6"/>
      <c r="J3" s="6"/>
      <c r="K3" s="6"/>
      <c r="L3" s="6"/>
      <c r="M3" s="6"/>
      <c r="N3" s="6"/>
      <c r="O3" s="6"/>
      <c r="P3" s="6"/>
      <c r="Q3" s="6"/>
      <c r="R3" s="6"/>
      <c r="S3" s="6"/>
      <c r="T3" s="6"/>
      <c r="U3" s="7"/>
      <c r="V3" s="4"/>
      <c r="W3" s="4"/>
      <c r="X3" s="4"/>
      <c r="Y3" s="4"/>
      <c r="Z3" s="4"/>
    </row>
    <row r="4" ht="13.5" customHeight="1">
      <c r="A4" s="5"/>
      <c r="B4" s="6"/>
      <c r="C4" s="6"/>
      <c r="D4" s="6"/>
      <c r="E4" s="6"/>
      <c r="F4" s="6"/>
      <c r="G4" s="6"/>
      <c r="H4" s="6"/>
      <c r="I4" s="6"/>
      <c r="J4" s="6"/>
      <c r="K4" s="6"/>
      <c r="L4" s="6"/>
      <c r="M4" s="6"/>
      <c r="N4" s="6"/>
      <c r="O4" s="6"/>
      <c r="P4" s="6"/>
      <c r="Q4" s="6"/>
      <c r="R4" s="6"/>
      <c r="S4" s="6"/>
      <c r="T4" s="6"/>
      <c r="U4" s="7"/>
      <c r="V4" s="4"/>
      <c r="W4" s="4"/>
      <c r="X4" s="4"/>
      <c r="Y4" s="4"/>
      <c r="Z4" s="4"/>
    </row>
    <row r="5" ht="13.5" customHeight="1">
      <c r="A5" s="5"/>
      <c r="B5" s="6"/>
      <c r="C5" s="6"/>
      <c r="D5" s="6"/>
      <c r="E5" s="6"/>
      <c r="F5" s="6"/>
      <c r="G5" s="6"/>
      <c r="H5" s="6"/>
      <c r="I5" s="6"/>
      <c r="J5" s="6"/>
      <c r="K5" s="6"/>
      <c r="L5" s="6"/>
      <c r="M5" s="6"/>
      <c r="N5" s="6"/>
      <c r="O5" s="6"/>
      <c r="P5" s="6"/>
      <c r="Q5" s="6"/>
      <c r="R5" s="6"/>
      <c r="S5" s="6"/>
      <c r="T5" s="6"/>
      <c r="U5" s="7"/>
      <c r="V5" s="4"/>
      <c r="W5" s="4"/>
      <c r="X5" s="4"/>
      <c r="Y5" s="4"/>
      <c r="Z5" s="4"/>
    </row>
    <row r="6" ht="13.5" customHeight="1">
      <c r="A6" s="5"/>
      <c r="B6" s="6"/>
      <c r="C6" s="6"/>
      <c r="D6" s="6"/>
      <c r="E6" s="6"/>
      <c r="F6" s="6"/>
      <c r="G6" s="6"/>
      <c r="H6" s="6"/>
      <c r="I6" s="6"/>
      <c r="J6" s="6"/>
      <c r="K6" s="6"/>
      <c r="L6" s="6"/>
      <c r="M6" s="6"/>
      <c r="N6" s="6"/>
      <c r="O6" s="6"/>
      <c r="P6" s="6"/>
      <c r="Q6" s="6"/>
      <c r="R6" s="6"/>
      <c r="S6" s="6"/>
      <c r="T6" s="6"/>
      <c r="U6" s="7"/>
      <c r="V6" s="4"/>
      <c r="W6" s="4"/>
      <c r="X6" s="4"/>
      <c r="Y6" s="4"/>
      <c r="Z6" s="4"/>
    </row>
    <row r="7" ht="13.5" customHeight="1">
      <c r="A7" s="5"/>
      <c r="B7" s="6"/>
      <c r="C7" s="6"/>
      <c r="D7" s="6"/>
      <c r="E7" s="6"/>
      <c r="F7" s="6"/>
      <c r="G7" s="6"/>
      <c r="H7" s="6"/>
      <c r="I7" s="6"/>
      <c r="J7" s="6"/>
      <c r="K7" s="6"/>
      <c r="L7" s="6"/>
      <c r="M7" s="6"/>
      <c r="N7" s="6"/>
      <c r="O7" s="6"/>
      <c r="P7" s="6"/>
      <c r="Q7" s="6"/>
      <c r="R7" s="6"/>
      <c r="S7" s="6"/>
      <c r="T7" s="6"/>
      <c r="U7" s="7"/>
      <c r="V7" s="4"/>
      <c r="W7" s="4"/>
      <c r="X7" s="4"/>
      <c r="Y7" s="4"/>
      <c r="Z7" s="4"/>
    </row>
    <row r="8" ht="13.5" customHeight="1">
      <c r="A8" s="5"/>
      <c r="B8" s="6"/>
      <c r="C8" s="6"/>
      <c r="D8" s="6"/>
      <c r="E8" s="6"/>
      <c r="F8" s="6"/>
      <c r="G8" s="6"/>
      <c r="H8" s="6"/>
      <c r="I8" s="6"/>
      <c r="J8" s="6"/>
      <c r="K8" s="6"/>
      <c r="L8" s="6"/>
      <c r="M8" s="6"/>
      <c r="N8" s="6"/>
      <c r="O8" s="6"/>
      <c r="P8" s="6"/>
      <c r="Q8" s="6"/>
      <c r="R8" s="6"/>
      <c r="S8" s="6"/>
      <c r="T8" s="6"/>
      <c r="U8" s="7"/>
      <c r="V8" s="4"/>
      <c r="W8" s="4"/>
      <c r="X8" s="4"/>
      <c r="Y8" s="4"/>
      <c r="Z8" s="4"/>
    </row>
    <row r="9" ht="13.5" customHeight="1">
      <c r="A9" s="5"/>
      <c r="B9" s="6"/>
      <c r="C9" s="6"/>
      <c r="D9" s="6"/>
      <c r="E9" s="6"/>
      <c r="F9" s="6"/>
      <c r="G9" s="6"/>
      <c r="H9" s="6"/>
      <c r="I9" s="6"/>
      <c r="J9" s="6"/>
      <c r="K9" s="6"/>
      <c r="L9" s="6"/>
      <c r="M9" s="6"/>
      <c r="N9" s="6"/>
      <c r="O9" s="6"/>
      <c r="P9" s="6"/>
      <c r="Q9" s="6"/>
      <c r="R9" s="6"/>
      <c r="S9" s="6"/>
      <c r="T9" s="6"/>
      <c r="U9" s="7"/>
      <c r="V9" s="4"/>
      <c r="W9" s="4"/>
      <c r="X9" s="4"/>
      <c r="Y9" s="4"/>
      <c r="Z9" s="4"/>
    </row>
    <row r="10" ht="13.5" customHeight="1">
      <c r="A10" s="5"/>
      <c r="B10" s="6"/>
      <c r="C10" s="6"/>
      <c r="D10" s="6"/>
      <c r="E10" s="6"/>
      <c r="F10" s="6"/>
      <c r="G10" s="6"/>
      <c r="H10" s="6"/>
      <c r="I10" s="6"/>
      <c r="J10" s="6"/>
      <c r="K10" s="6"/>
      <c r="L10" s="6"/>
      <c r="M10" s="6"/>
      <c r="N10" s="6"/>
      <c r="O10" s="6"/>
      <c r="P10" s="6"/>
      <c r="Q10" s="6"/>
      <c r="R10" s="6"/>
      <c r="S10" s="6"/>
      <c r="T10" s="6"/>
      <c r="U10" s="7"/>
      <c r="V10" s="4"/>
      <c r="W10" s="4"/>
      <c r="X10" s="4"/>
      <c r="Y10" s="4"/>
      <c r="Z10" s="4"/>
    </row>
    <row r="11" ht="13.5" customHeight="1">
      <c r="A11" s="5"/>
      <c r="B11" s="6"/>
      <c r="C11" s="6"/>
      <c r="D11" s="6"/>
      <c r="E11" s="6"/>
      <c r="F11" s="6"/>
      <c r="G11" s="6"/>
      <c r="H11" s="6"/>
      <c r="I11" s="6"/>
      <c r="J11" s="6"/>
      <c r="K11" s="6"/>
      <c r="L11" s="6"/>
      <c r="M11" s="6"/>
      <c r="N11" s="6"/>
      <c r="O11" s="6"/>
      <c r="P11" s="6"/>
      <c r="Q11" s="6"/>
      <c r="R11" s="6"/>
      <c r="S11" s="6"/>
      <c r="T11" s="6"/>
      <c r="U11" s="7"/>
      <c r="V11" s="4"/>
      <c r="W11" s="4"/>
      <c r="X11" s="4"/>
      <c r="Y11" s="4"/>
      <c r="Z11" s="4"/>
    </row>
    <row r="12" ht="13.5" customHeight="1">
      <c r="A12" s="5"/>
      <c r="B12" s="6"/>
      <c r="C12" s="6"/>
      <c r="D12" s="6"/>
      <c r="E12" s="6"/>
      <c r="F12" s="6"/>
      <c r="G12" s="6"/>
      <c r="H12" s="6"/>
      <c r="I12" s="6"/>
      <c r="J12" s="6"/>
      <c r="K12" s="6"/>
      <c r="L12" s="6"/>
      <c r="M12" s="6"/>
      <c r="N12" s="6"/>
      <c r="O12" s="6"/>
      <c r="P12" s="6"/>
      <c r="Q12" s="6"/>
      <c r="R12" s="6"/>
      <c r="S12" s="6"/>
      <c r="T12" s="6"/>
      <c r="U12" s="7"/>
      <c r="V12" s="4"/>
      <c r="W12" s="4"/>
      <c r="X12" s="4"/>
      <c r="Y12" s="4"/>
      <c r="Z12" s="4"/>
    </row>
    <row r="13" ht="13.5" customHeight="1">
      <c r="A13" s="5"/>
      <c r="B13" s="6"/>
      <c r="C13" s="6"/>
      <c r="D13" s="6"/>
      <c r="E13" s="6"/>
      <c r="F13" s="6"/>
      <c r="G13" s="6"/>
      <c r="H13" s="6"/>
      <c r="I13" s="6"/>
      <c r="J13" s="6"/>
      <c r="K13" s="6"/>
      <c r="L13" s="6"/>
      <c r="M13" s="6"/>
      <c r="N13" s="6"/>
      <c r="O13" s="6"/>
      <c r="P13" s="6"/>
      <c r="Q13" s="6"/>
      <c r="R13" s="6"/>
      <c r="S13" s="6"/>
      <c r="T13" s="6"/>
      <c r="U13" s="7"/>
      <c r="V13" s="4"/>
      <c r="W13" s="4"/>
      <c r="X13" s="4"/>
      <c r="Y13" s="4"/>
      <c r="Z13" s="4"/>
    </row>
    <row r="14" ht="13.5" customHeight="1">
      <c r="A14" s="5"/>
      <c r="B14" s="6"/>
      <c r="C14" s="6"/>
      <c r="D14" s="6"/>
      <c r="E14" s="6"/>
      <c r="F14" s="6"/>
      <c r="G14" s="6"/>
      <c r="H14" s="6"/>
      <c r="I14" s="6"/>
      <c r="J14" s="6"/>
      <c r="K14" s="6"/>
      <c r="L14" s="6"/>
      <c r="M14" s="6"/>
      <c r="N14" s="6"/>
      <c r="O14" s="6"/>
      <c r="P14" s="6"/>
      <c r="Q14" s="6"/>
      <c r="R14" s="6"/>
      <c r="S14" s="6"/>
      <c r="T14" s="6"/>
      <c r="U14" s="7"/>
      <c r="V14" s="4"/>
      <c r="W14" s="4"/>
      <c r="X14" s="4"/>
      <c r="Y14" s="4"/>
      <c r="Z14" s="4"/>
    </row>
    <row r="15" ht="13.5" customHeight="1">
      <c r="A15" s="5"/>
      <c r="B15" s="6"/>
      <c r="C15" s="6"/>
      <c r="D15" s="6"/>
      <c r="E15" s="6"/>
      <c r="F15" s="6"/>
      <c r="G15" s="6"/>
      <c r="H15" s="6"/>
      <c r="I15" s="6"/>
      <c r="J15" s="6"/>
      <c r="K15" s="6"/>
      <c r="L15" s="6"/>
      <c r="M15" s="6"/>
      <c r="N15" s="6"/>
      <c r="O15" s="6"/>
      <c r="P15" s="6"/>
      <c r="Q15" s="6"/>
      <c r="R15" s="6"/>
      <c r="S15" s="6"/>
      <c r="T15" s="6"/>
      <c r="U15" s="7"/>
      <c r="V15" s="4"/>
      <c r="W15" s="4"/>
      <c r="X15" s="4"/>
      <c r="Y15" s="4"/>
      <c r="Z15" s="4"/>
    </row>
    <row r="16" ht="13.5" customHeight="1">
      <c r="A16" s="5"/>
      <c r="B16" s="6"/>
      <c r="C16" s="6"/>
      <c r="D16" s="6"/>
      <c r="E16" s="6"/>
      <c r="F16" s="6"/>
      <c r="G16" s="6"/>
      <c r="H16" s="6"/>
      <c r="I16" s="6"/>
      <c r="J16" s="6"/>
      <c r="K16" s="6"/>
      <c r="L16" s="6"/>
      <c r="M16" s="6"/>
      <c r="N16" s="6"/>
      <c r="O16" s="6"/>
      <c r="P16" s="6"/>
      <c r="Q16" s="6"/>
      <c r="R16" s="6"/>
      <c r="S16" s="6"/>
      <c r="T16" s="6"/>
      <c r="U16" s="7"/>
      <c r="V16" s="4"/>
      <c r="W16" s="4"/>
      <c r="X16" s="4"/>
      <c r="Y16" s="4"/>
      <c r="Z16" s="4"/>
    </row>
    <row r="17" ht="13.5" customHeight="1">
      <c r="A17" s="5"/>
      <c r="B17" s="6"/>
      <c r="C17" s="6"/>
      <c r="D17" s="6"/>
      <c r="E17" s="6"/>
      <c r="F17" s="6"/>
      <c r="G17" s="6"/>
      <c r="H17" s="6"/>
      <c r="I17" s="6"/>
      <c r="J17" s="6"/>
      <c r="K17" s="6"/>
      <c r="L17" s="6"/>
      <c r="M17" s="6"/>
      <c r="N17" s="6"/>
      <c r="O17" s="6"/>
      <c r="P17" s="6"/>
      <c r="Q17" s="6"/>
      <c r="R17" s="6"/>
      <c r="S17" s="6"/>
      <c r="T17" s="6"/>
      <c r="U17" s="7"/>
      <c r="V17" s="4"/>
      <c r="W17" s="4"/>
      <c r="X17" s="4"/>
      <c r="Y17" s="4"/>
      <c r="Z17" s="4"/>
    </row>
    <row r="18" ht="13.5" customHeight="1">
      <c r="A18" s="5"/>
      <c r="B18" s="6"/>
      <c r="C18" s="6"/>
      <c r="D18" s="6"/>
      <c r="E18" s="6"/>
      <c r="F18" s="6"/>
      <c r="G18" s="6"/>
      <c r="H18" s="6"/>
      <c r="I18" s="6"/>
      <c r="J18" s="6"/>
      <c r="K18" s="6"/>
      <c r="L18" s="6"/>
      <c r="M18" s="6"/>
      <c r="N18" s="6"/>
      <c r="O18" s="6"/>
      <c r="P18" s="6"/>
      <c r="Q18" s="6"/>
      <c r="R18" s="6"/>
      <c r="S18" s="6"/>
      <c r="T18" s="6"/>
      <c r="U18" s="7"/>
      <c r="V18" s="4"/>
      <c r="W18" s="4"/>
      <c r="X18" s="4"/>
      <c r="Y18" s="4"/>
      <c r="Z18" s="4"/>
    </row>
    <row r="19" ht="13.5" customHeight="1">
      <c r="A19" s="5"/>
      <c r="B19" s="6"/>
      <c r="C19" s="6"/>
      <c r="D19" s="6"/>
      <c r="E19" s="6"/>
      <c r="F19" s="6"/>
      <c r="G19" s="6"/>
      <c r="H19" s="6"/>
      <c r="I19" s="6"/>
      <c r="J19" s="6"/>
      <c r="K19" s="6"/>
      <c r="L19" s="6"/>
      <c r="M19" s="6"/>
      <c r="N19" s="6"/>
      <c r="O19" s="6"/>
      <c r="P19" s="6"/>
      <c r="Q19" s="6"/>
      <c r="R19" s="6"/>
      <c r="S19" s="6"/>
      <c r="T19" s="6"/>
      <c r="U19" s="7"/>
      <c r="V19" s="4"/>
      <c r="W19" s="4"/>
      <c r="X19" s="4"/>
      <c r="Y19" s="4"/>
      <c r="Z19" s="4"/>
    </row>
    <row r="20" ht="13.5" customHeight="1">
      <c r="A20" s="5"/>
      <c r="B20" s="6"/>
      <c r="C20" s="6"/>
      <c r="D20" s="6"/>
      <c r="E20" s="6"/>
      <c r="F20" s="6"/>
      <c r="G20" s="6"/>
      <c r="H20" s="6"/>
      <c r="I20" s="6"/>
      <c r="J20" s="6"/>
      <c r="K20" s="6"/>
      <c r="L20" s="6"/>
      <c r="M20" s="6"/>
      <c r="N20" s="6"/>
      <c r="O20" s="6"/>
      <c r="P20" s="6"/>
      <c r="Q20" s="6"/>
      <c r="R20" s="6"/>
      <c r="S20" s="6"/>
      <c r="T20" s="6"/>
      <c r="U20" s="7"/>
      <c r="V20" s="4"/>
      <c r="W20" s="4"/>
      <c r="X20" s="4"/>
      <c r="Y20" s="4"/>
      <c r="Z20" s="4"/>
    </row>
    <row r="21" ht="13.5" customHeight="1">
      <c r="A21" s="5"/>
      <c r="B21" s="6"/>
      <c r="C21" s="6"/>
      <c r="D21" s="6"/>
      <c r="E21" s="6"/>
      <c r="F21" s="6"/>
      <c r="G21" s="6"/>
      <c r="H21" s="6"/>
      <c r="I21" s="6"/>
      <c r="J21" s="6"/>
      <c r="K21" s="6"/>
      <c r="L21" s="6"/>
      <c r="M21" s="6"/>
      <c r="N21" s="6"/>
      <c r="O21" s="6"/>
      <c r="P21" s="6"/>
      <c r="Q21" s="6"/>
      <c r="R21" s="6"/>
      <c r="S21" s="6"/>
      <c r="T21" s="6"/>
      <c r="U21" s="7"/>
      <c r="V21" s="4"/>
      <c r="W21" s="4"/>
      <c r="X21" s="4"/>
      <c r="Y21" s="4"/>
      <c r="Z21" s="4"/>
    </row>
    <row r="22" ht="13.5" customHeight="1">
      <c r="A22" s="5"/>
      <c r="B22" s="6"/>
      <c r="C22" s="6"/>
      <c r="D22" s="6"/>
      <c r="E22" s="6"/>
      <c r="F22" s="6"/>
      <c r="G22" s="6"/>
      <c r="H22" s="6"/>
      <c r="I22" s="6"/>
      <c r="J22" s="6"/>
      <c r="K22" s="6"/>
      <c r="L22" s="6"/>
      <c r="M22" s="6"/>
      <c r="N22" s="6"/>
      <c r="O22" s="6"/>
      <c r="P22" s="6"/>
      <c r="Q22" s="6"/>
      <c r="R22" s="6"/>
      <c r="S22" s="6"/>
      <c r="T22" s="6"/>
      <c r="U22" s="7"/>
      <c r="V22" s="4"/>
      <c r="W22" s="4"/>
      <c r="X22" s="4"/>
      <c r="Y22" s="4"/>
      <c r="Z22" s="4"/>
    </row>
    <row r="23" ht="13.5" customHeight="1">
      <c r="A23" s="5"/>
      <c r="B23" s="6"/>
      <c r="C23" s="6"/>
      <c r="D23" s="6"/>
      <c r="E23" s="6"/>
      <c r="F23" s="6"/>
      <c r="G23" s="6"/>
      <c r="H23" s="6"/>
      <c r="I23" s="6"/>
      <c r="J23" s="6"/>
      <c r="K23" s="6"/>
      <c r="L23" s="6"/>
      <c r="M23" s="6"/>
      <c r="N23" s="6"/>
      <c r="O23" s="6"/>
      <c r="P23" s="6"/>
      <c r="Q23" s="6"/>
      <c r="R23" s="6"/>
      <c r="S23" s="6"/>
      <c r="T23" s="6"/>
      <c r="U23" s="7"/>
      <c r="V23" s="4"/>
      <c r="W23" s="4"/>
      <c r="X23" s="4"/>
      <c r="Y23" s="4"/>
      <c r="Z23" s="4"/>
    </row>
    <row r="24" ht="13.5" customHeight="1">
      <c r="A24" s="5"/>
      <c r="B24" s="6"/>
      <c r="C24" s="6"/>
      <c r="D24" s="6"/>
      <c r="E24" s="6"/>
      <c r="F24" s="6"/>
      <c r="G24" s="6"/>
      <c r="H24" s="6"/>
      <c r="I24" s="6"/>
      <c r="J24" s="6"/>
      <c r="K24" s="6"/>
      <c r="L24" s="6"/>
      <c r="M24" s="6"/>
      <c r="N24" s="6"/>
      <c r="O24" s="6"/>
      <c r="P24" s="6"/>
      <c r="Q24" s="6"/>
      <c r="R24" s="6"/>
      <c r="S24" s="6"/>
      <c r="T24" s="6"/>
      <c r="U24" s="7"/>
      <c r="V24" s="4"/>
      <c r="W24" s="4"/>
      <c r="X24" s="4"/>
      <c r="Y24" s="4"/>
      <c r="Z24" s="4"/>
    </row>
    <row r="25" ht="13.5" customHeight="1">
      <c r="A25" s="5"/>
      <c r="B25" s="6"/>
      <c r="C25" s="6"/>
      <c r="D25" s="6"/>
      <c r="E25" s="6"/>
      <c r="F25" s="6"/>
      <c r="G25" s="6"/>
      <c r="H25" s="6"/>
      <c r="I25" s="6"/>
      <c r="J25" s="6"/>
      <c r="K25" s="6"/>
      <c r="L25" s="6"/>
      <c r="M25" s="6"/>
      <c r="N25" s="6"/>
      <c r="O25" s="6"/>
      <c r="P25" s="6"/>
      <c r="Q25" s="6"/>
      <c r="R25" s="6"/>
      <c r="S25" s="6"/>
      <c r="T25" s="6"/>
      <c r="U25" s="7"/>
      <c r="V25" s="4"/>
      <c r="W25" s="4"/>
      <c r="X25" s="4"/>
      <c r="Y25" s="4"/>
      <c r="Z25" s="4"/>
    </row>
    <row r="26" ht="13.5" customHeight="1">
      <c r="A26" s="5"/>
      <c r="B26" s="6"/>
      <c r="C26" s="6"/>
      <c r="D26" s="6"/>
      <c r="E26" s="6"/>
      <c r="F26" s="6"/>
      <c r="G26" s="6"/>
      <c r="H26" s="6"/>
      <c r="I26" s="6"/>
      <c r="J26" s="6"/>
      <c r="K26" s="6"/>
      <c r="L26" s="6"/>
      <c r="M26" s="6"/>
      <c r="N26" s="6"/>
      <c r="O26" s="6"/>
      <c r="P26" s="6"/>
      <c r="Q26" s="6"/>
      <c r="R26" s="6"/>
      <c r="S26" s="6"/>
      <c r="T26" s="6"/>
      <c r="U26" s="7"/>
      <c r="V26" s="4"/>
      <c r="W26" s="4"/>
      <c r="X26" s="4"/>
      <c r="Y26" s="4"/>
      <c r="Z26" s="4"/>
    </row>
    <row r="27" ht="13.5" customHeight="1">
      <c r="A27" s="5"/>
      <c r="B27" s="6"/>
      <c r="C27" s="6"/>
      <c r="D27" s="6"/>
      <c r="E27" s="6"/>
      <c r="F27" s="6"/>
      <c r="G27" s="6"/>
      <c r="H27" s="6"/>
      <c r="I27" s="6"/>
      <c r="J27" s="6"/>
      <c r="K27" s="6"/>
      <c r="L27" s="6"/>
      <c r="M27" s="6"/>
      <c r="N27" s="6"/>
      <c r="O27" s="6"/>
      <c r="P27" s="6"/>
      <c r="Q27" s="6"/>
      <c r="R27" s="6"/>
      <c r="S27" s="6"/>
      <c r="T27" s="6"/>
      <c r="U27" s="7"/>
      <c r="V27" s="4"/>
      <c r="W27" s="4"/>
      <c r="X27" s="4"/>
      <c r="Y27" s="4"/>
      <c r="Z27" s="4"/>
    </row>
    <row r="28" ht="13.5" customHeight="1">
      <c r="A28" s="5"/>
      <c r="B28" s="6"/>
      <c r="C28" s="6"/>
      <c r="D28" s="6"/>
      <c r="E28" s="6"/>
      <c r="F28" s="6"/>
      <c r="G28" s="6"/>
      <c r="H28" s="6"/>
      <c r="I28" s="6"/>
      <c r="J28" s="6"/>
      <c r="K28" s="6"/>
      <c r="L28" s="6"/>
      <c r="M28" s="6"/>
      <c r="N28" s="6"/>
      <c r="O28" s="6"/>
      <c r="P28" s="6"/>
      <c r="Q28" s="6"/>
      <c r="R28" s="6"/>
      <c r="S28" s="6"/>
      <c r="T28" s="6"/>
      <c r="U28" s="7"/>
      <c r="V28" s="4"/>
      <c r="W28" s="4"/>
      <c r="X28" s="4"/>
      <c r="Y28" s="4"/>
      <c r="Z28" s="4"/>
    </row>
    <row r="29" ht="13.5" customHeight="1">
      <c r="A29" s="5"/>
      <c r="B29" s="6"/>
      <c r="C29" s="6"/>
      <c r="D29" s="6"/>
      <c r="E29" s="6"/>
      <c r="F29" s="6"/>
      <c r="G29" s="6"/>
      <c r="H29" s="6"/>
      <c r="I29" s="6"/>
      <c r="J29" s="6"/>
      <c r="K29" s="6"/>
      <c r="L29" s="6"/>
      <c r="M29" s="6"/>
      <c r="N29" s="6"/>
      <c r="O29" s="6"/>
      <c r="P29" s="6"/>
      <c r="Q29" s="6"/>
      <c r="R29" s="6"/>
      <c r="S29" s="6"/>
      <c r="T29" s="6"/>
      <c r="U29" s="7"/>
      <c r="V29" s="4"/>
      <c r="W29" s="4"/>
      <c r="X29" s="4"/>
      <c r="Y29" s="4"/>
      <c r="Z29" s="4"/>
    </row>
    <row r="30" ht="13.5" customHeight="1">
      <c r="A30" s="5"/>
      <c r="B30" s="6"/>
      <c r="C30" s="6"/>
      <c r="D30" s="6"/>
      <c r="E30" s="6"/>
      <c r="F30" s="6"/>
      <c r="G30" s="6"/>
      <c r="H30" s="6"/>
      <c r="I30" s="6"/>
      <c r="J30" s="6"/>
      <c r="K30" s="6"/>
      <c r="L30" s="6"/>
      <c r="M30" s="6"/>
      <c r="N30" s="6"/>
      <c r="O30" s="6"/>
      <c r="P30" s="6"/>
      <c r="Q30" s="6"/>
      <c r="R30" s="6"/>
      <c r="S30" s="6"/>
      <c r="T30" s="6"/>
      <c r="U30" s="7"/>
      <c r="V30" s="4"/>
      <c r="W30" s="4"/>
      <c r="X30" s="4"/>
      <c r="Y30" s="4"/>
      <c r="Z30" s="4"/>
    </row>
    <row r="31" ht="13.5" customHeight="1">
      <c r="A31" s="8"/>
      <c r="B31" s="9"/>
      <c r="C31" s="9"/>
      <c r="D31" s="9"/>
      <c r="E31" s="9"/>
      <c r="F31" s="9"/>
      <c r="G31" s="9"/>
      <c r="H31" s="9"/>
      <c r="I31" s="9"/>
      <c r="J31" s="9"/>
      <c r="K31" s="9"/>
      <c r="L31" s="9"/>
      <c r="M31" s="9"/>
      <c r="N31" s="9"/>
      <c r="O31" s="9"/>
      <c r="P31" s="9"/>
      <c r="Q31" s="9"/>
      <c r="R31" s="9"/>
      <c r="S31" s="9"/>
      <c r="T31" s="9"/>
      <c r="U31" s="10"/>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 width="9.14"/>
    <col customWidth="1" min="5" max="5" width="12.57"/>
    <col customWidth="1" min="6" max="12" width="9.14"/>
    <col customWidth="1" min="13" max="14" width="10.0"/>
    <col customWidth="1" min="15" max="15" width="9.29"/>
    <col customWidth="1" min="16" max="17" width="9.43"/>
    <col customWidth="1" min="18" max="18" width="12.57"/>
    <col customWidth="1" min="19" max="26" width="9.14"/>
  </cols>
  <sheetData>
    <row r="1" ht="18.0" customHeight="1">
      <c r="A1" s="11" t="s">
        <v>0</v>
      </c>
      <c r="B1" s="12"/>
      <c r="C1" s="12"/>
      <c r="D1" s="12"/>
      <c r="E1" s="12"/>
      <c r="F1" s="12"/>
      <c r="G1" s="12"/>
      <c r="H1" s="12"/>
      <c r="I1" s="12"/>
      <c r="J1" s="12"/>
      <c r="K1" s="13"/>
      <c r="L1" s="12"/>
      <c r="M1" s="12"/>
      <c r="N1" s="12"/>
      <c r="O1" s="14" t="s">
        <v>1</v>
      </c>
      <c r="P1" s="12"/>
      <c r="Q1" s="12"/>
      <c r="R1" s="12"/>
      <c r="S1" s="12"/>
      <c r="T1" s="15"/>
      <c r="U1" s="4"/>
      <c r="V1" s="4"/>
      <c r="W1" s="4"/>
      <c r="X1" s="4"/>
      <c r="Y1" s="4"/>
      <c r="Z1" s="4"/>
    </row>
    <row r="2" ht="13.5" customHeight="1">
      <c r="A2" s="16"/>
      <c r="B2" s="17"/>
      <c r="C2" s="17"/>
      <c r="D2" s="18"/>
      <c r="E2" s="18"/>
      <c r="F2" s="19"/>
      <c r="G2" s="19"/>
      <c r="H2" s="19"/>
      <c r="I2" s="19"/>
      <c r="J2" s="19"/>
      <c r="K2" s="19"/>
      <c r="L2" s="19"/>
      <c r="M2" s="19"/>
      <c r="N2" s="19"/>
      <c r="O2" s="19"/>
      <c r="P2" s="19"/>
      <c r="Q2" s="19"/>
      <c r="R2" s="19"/>
      <c r="S2" s="19"/>
      <c r="T2" s="20"/>
      <c r="U2" s="4"/>
      <c r="V2" s="4"/>
      <c r="W2" s="4"/>
      <c r="X2" s="4"/>
      <c r="Y2" s="4"/>
      <c r="Z2" s="4"/>
    </row>
    <row r="3" ht="48.75" customHeight="1">
      <c r="A3" s="21"/>
      <c r="B3" s="22" t="s">
        <v>2</v>
      </c>
      <c r="C3" s="23"/>
      <c r="D3" s="24" t="s">
        <v>3</v>
      </c>
      <c r="E3" s="25"/>
      <c r="F3" s="26"/>
      <c r="G3" s="19"/>
      <c r="H3" s="19"/>
      <c r="I3" s="19"/>
      <c r="J3" s="19"/>
      <c r="K3" s="19"/>
      <c r="L3" s="19"/>
      <c r="M3" s="19"/>
      <c r="N3" s="19"/>
      <c r="O3" s="19"/>
      <c r="P3" s="19"/>
      <c r="Q3" s="19"/>
      <c r="R3" s="19"/>
      <c r="S3" s="19"/>
      <c r="T3" s="20"/>
      <c r="U3" s="4"/>
      <c r="V3" s="4"/>
      <c r="W3" s="4"/>
      <c r="X3" s="4"/>
      <c r="Y3" s="4"/>
      <c r="Z3" s="4"/>
    </row>
    <row r="4" ht="15.75" customHeight="1">
      <c r="A4" s="21"/>
      <c r="B4" s="22" t="s">
        <v>4</v>
      </c>
      <c r="C4" s="23"/>
      <c r="D4" s="27">
        <v>3.0</v>
      </c>
      <c r="E4" s="23"/>
      <c r="F4" s="26"/>
      <c r="G4" s="19"/>
      <c r="H4" s="19"/>
      <c r="I4" s="19"/>
      <c r="J4" s="19"/>
      <c r="K4" s="19"/>
      <c r="L4" s="28" t="s">
        <v>5</v>
      </c>
      <c r="M4" s="29"/>
      <c r="N4" s="29"/>
      <c r="O4" s="30"/>
      <c r="P4" s="31">
        <f>SUM(N6:Q6)/M6</f>
        <v>1</v>
      </c>
      <c r="Q4" s="29"/>
      <c r="R4" s="29"/>
      <c r="S4" s="19"/>
      <c r="T4" s="20"/>
      <c r="U4" s="4"/>
      <c r="V4" s="4"/>
      <c r="W4" s="4"/>
      <c r="X4" s="4"/>
      <c r="Y4" s="4"/>
      <c r="Z4" s="4"/>
    </row>
    <row r="5" ht="18.75" customHeight="1">
      <c r="A5" s="21"/>
      <c r="B5" s="22" t="s">
        <v>6</v>
      </c>
      <c r="C5" s="23"/>
      <c r="D5" s="32" t="s">
        <v>7</v>
      </c>
      <c r="E5" s="23"/>
      <c r="F5" s="26"/>
      <c r="G5" s="19"/>
      <c r="H5" s="19"/>
      <c r="I5" s="19"/>
      <c r="J5" s="19"/>
      <c r="K5" s="33"/>
      <c r="L5" s="34" t="s">
        <v>8</v>
      </c>
      <c r="M5" s="34" t="s">
        <v>9</v>
      </c>
      <c r="N5" s="34" t="s">
        <v>10</v>
      </c>
      <c r="O5" s="34" t="s">
        <v>11</v>
      </c>
      <c r="P5" s="34" t="s">
        <v>12</v>
      </c>
      <c r="Q5" s="34" t="s">
        <v>13</v>
      </c>
      <c r="R5" s="34" t="s">
        <v>14</v>
      </c>
      <c r="S5" s="26"/>
      <c r="T5" s="20"/>
      <c r="U5" s="4"/>
      <c r="V5" s="4"/>
      <c r="W5" s="4"/>
      <c r="X5" s="4"/>
      <c r="Y5" s="4"/>
      <c r="Z5" s="4"/>
    </row>
    <row r="6" ht="15.0" customHeight="1">
      <c r="A6" s="21"/>
      <c r="B6" s="22" t="s">
        <v>15</v>
      </c>
      <c r="C6" s="23"/>
      <c r="D6" s="35">
        <f>SUM(P24)/N26</f>
        <v>1</v>
      </c>
      <c r="E6" s="23"/>
      <c r="F6" s="26"/>
      <c r="G6" s="19"/>
      <c r="H6" s="19"/>
      <c r="I6" s="19"/>
      <c r="J6" s="19"/>
      <c r="K6" s="33"/>
      <c r="L6" s="36">
        <f>'TestCase Coverage'!A12</f>
        <v>6</v>
      </c>
      <c r="M6" s="37">
        <f>'TestCase Coverage'!B12</f>
        <v>49</v>
      </c>
      <c r="N6" s="37">
        <f>'TestCase Coverage'!C12</f>
        <v>49</v>
      </c>
      <c r="O6" s="37">
        <f>'TestCase Coverage'!D12</f>
        <v>0</v>
      </c>
      <c r="P6" s="37">
        <f>'TestCase Coverage'!E12</f>
        <v>0</v>
      </c>
      <c r="Q6" s="37">
        <f>'TestCase Coverage'!F12</f>
        <v>0</v>
      </c>
      <c r="R6" s="37">
        <f>'TestCase Coverage'!G12</f>
        <v>0</v>
      </c>
      <c r="S6" s="26"/>
      <c r="T6" s="20"/>
      <c r="U6" s="4"/>
      <c r="V6" s="4"/>
      <c r="W6" s="4"/>
      <c r="X6" s="4"/>
      <c r="Y6" s="4"/>
      <c r="Z6" s="4"/>
    </row>
    <row r="7" ht="15.0" customHeight="1">
      <c r="A7" s="21"/>
      <c r="B7" s="22" t="s">
        <v>16</v>
      </c>
      <c r="C7" s="23"/>
      <c r="D7" s="38" t="s">
        <v>17</v>
      </c>
      <c r="E7" s="23"/>
      <c r="F7" s="26"/>
      <c r="G7" s="19"/>
      <c r="H7" s="19"/>
      <c r="I7" s="19"/>
      <c r="J7" s="19"/>
      <c r="K7" s="19"/>
      <c r="L7" s="39"/>
      <c r="M7" s="39"/>
      <c r="N7" s="39"/>
      <c r="O7" s="39"/>
      <c r="P7" s="39"/>
      <c r="Q7" s="39"/>
      <c r="R7" s="39"/>
      <c r="S7" s="19"/>
      <c r="T7" s="20"/>
      <c r="U7" s="4"/>
      <c r="V7" s="4"/>
      <c r="W7" s="4"/>
      <c r="X7" s="4"/>
      <c r="Y7" s="4"/>
      <c r="Z7" s="4"/>
    </row>
    <row r="8" ht="13.5" customHeight="1">
      <c r="A8" s="16"/>
      <c r="B8" s="40"/>
      <c r="C8" s="40"/>
      <c r="D8" s="40"/>
      <c r="E8" s="40"/>
      <c r="F8" s="41"/>
      <c r="G8" s="41"/>
      <c r="H8" s="41"/>
      <c r="I8" s="41"/>
      <c r="J8" s="41"/>
      <c r="K8" s="41"/>
      <c r="L8" s="41"/>
      <c r="M8" s="41"/>
      <c r="N8" s="41"/>
      <c r="O8" s="41"/>
      <c r="P8" s="41"/>
      <c r="Q8" s="41"/>
      <c r="R8" s="41"/>
      <c r="S8" s="19"/>
      <c r="T8" s="20"/>
      <c r="U8" s="4"/>
      <c r="V8" s="4"/>
      <c r="W8" s="4"/>
      <c r="X8" s="4"/>
      <c r="Y8" s="4"/>
      <c r="Z8" s="4"/>
    </row>
    <row r="9">
      <c r="A9" s="42"/>
      <c r="B9" s="43" t="s">
        <v>18</v>
      </c>
      <c r="C9" s="44"/>
      <c r="D9" s="44"/>
      <c r="E9" s="44"/>
      <c r="F9" s="44"/>
      <c r="G9" s="44"/>
      <c r="H9" s="44"/>
      <c r="I9" s="44"/>
      <c r="J9" s="44"/>
      <c r="K9" s="44"/>
      <c r="L9" s="44"/>
      <c r="M9" s="44"/>
      <c r="N9" s="44"/>
      <c r="O9" s="44"/>
      <c r="P9" s="44"/>
      <c r="Q9" s="44"/>
      <c r="R9" s="45"/>
      <c r="S9" s="46"/>
      <c r="T9" s="20"/>
      <c r="U9" s="4"/>
      <c r="V9" s="4"/>
      <c r="W9" s="4"/>
      <c r="X9" s="4"/>
      <c r="Y9" s="4"/>
      <c r="Z9" s="4"/>
    </row>
    <row r="10" ht="15.0" customHeight="1">
      <c r="A10" s="42"/>
      <c r="B10" s="47" t="s">
        <v>19</v>
      </c>
      <c r="C10" s="48"/>
      <c r="D10" s="48"/>
      <c r="E10" s="48"/>
      <c r="F10" s="48"/>
      <c r="G10" s="48"/>
      <c r="H10" s="48"/>
      <c r="I10" s="48"/>
      <c r="J10" s="48"/>
      <c r="K10" s="48"/>
      <c r="L10" s="48"/>
      <c r="M10" s="48"/>
      <c r="N10" s="48"/>
      <c r="O10" s="48"/>
      <c r="P10" s="48"/>
      <c r="Q10" s="48"/>
      <c r="R10" s="49"/>
      <c r="S10" s="46"/>
      <c r="T10" s="20"/>
      <c r="U10" s="4"/>
      <c r="V10" s="4"/>
      <c r="W10" s="4"/>
      <c r="X10" s="4"/>
      <c r="Y10" s="4"/>
      <c r="Z10" s="4"/>
    </row>
    <row r="11" ht="13.5" customHeight="1">
      <c r="A11" s="42"/>
      <c r="B11" s="50"/>
      <c r="R11" s="51"/>
      <c r="S11" s="46"/>
      <c r="T11" s="20"/>
      <c r="U11" s="4"/>
      <c r="V11" s="4"/>
      <c r="W11" s="4"/>
      <c r="X11" s="4"/>
      <c r="Y11" s="4"/>
      <c r="Z11" s="4"/>
    </row>
    <row r="12" ht="13.5" customHeight="1">
      <c r="A12" s="42"/>
      <c r="B12" s="50"/>
      <c r="R12" s="51"/>
      <c r="S12" s="46"/>
      <c r="T12" s="20"/>
      <c r="U12" s="4"/>
      <c r="V12" s="4"/>
      <c r="W12" s="4"/>
      <c r="X12" s="4"/>
      <c r="Y12" s="4"/>
      <c r="Z12" s="4"/>
    </row>
    <row r="13" ht="13.5" customHeight="1">
      <c r="A13" s="42"/>
      <c r="B13" s="50"/>
      <c r="R13" s="51"/>
      <c r="S13" s="46"/>
      <c r="T13" s="20"/>
      <c r="U13" s="4"/>
      <c r="V13" s="4"/>
      <c r="W13" s="4"/>
      <c r="X13" s="4"/>
      <c r="Y13" s="4"/>
      <c r="Z13" s="4"/>
    </row>
    <row r="14">
      <c r="A14" s="42"/>
      <c r="B14" s="52"/>
      <c r="C14" s="53"/>
      <c r="D14" s="53"/>
      <c r="E14" s="53"/>
      <c r="F14" s="53"/>
      <c r="G14" s="53"/>
      <c r="H14" s="53"/>
      <c r="I14" s="53"/>
      <c r="J14" s="53"/>
      <c r="K14" s="53"/>
      <c r="L14" s="53"/>
      <c r="M14" s="53"/>
      <c r="N14" s="53"/>
      <c r="O14" s="53"/>
      <c r="P14" s="53"/>
      <c r="Q14" s="53"/>
      <c r="R14" s="54"/>
      <c r="S14" s="46"/>
      <c r="T14" s="20"/>
      <c r="U14" s="4"/>
      <c r="V14" s="4"/>
      <c r="W14" s="4"/>
      <c r="X14" s="4"/>
      <c r="Y14" s="4"/>
      <c r="Z14" s="4"/>
    </row>
    <row r="15" ht="15.0" customHeight="1">
      <c r="A15" s="42"/>
      <c r="B15" s="55" t="s">
        <v>20</v>
      </c>
      <c r="C15" s="44"/>
      <c r="D15" s="44"/>
      <c r="E15" s="44"/>
      <c r="F15" s="44"/>
      <c r="G15" s="44"/>
      <c r="H15" s="44"/>
      <c r="I15" s="44"/>
      <c r="J15" s="44"/>
      <c r="K15" s="44"/>
      <c r="L15" s="44"/>
      <c r="M15" s="44"/>
      <c r="N15" s="44"/>
      <c r="O15" s="44"/>
      <c r="P15" s="44"/>
      <c r="Q15" s="44"/>
      <c r="R15" s="45"/>
      <c r="S15" s="46"/>
      <c r="T15" s="20"/>
      <c r="U15" s="4"/>
      <c r="V15" s="4"/>
      <c r="W15" s="4"/>
      <c r="X15" s="4"/>
      <c r="Y15" s="4"/>
      <c r="Z15" s="4"/>
    </row>
    <row r="16" ht="15.0" customHeight="1">
      <c r="A16" s="42"/>
      <c r="B16" s="56" t="s">
        <v>21</v>
      </c>
      <c r="C16" s="48"/>
      <c r="D16" s="48"/>
      <c r="E16" s="48"/>
      <c r="F16" s="48"/>
      <c r="G16" s="48"/>
      <c r="H16" s="48"/>
      <c r="I16" s="48"/>
      <c r="J16" s="48"/>
      <c r="K16" s="48"/>
      <c r="L16" s="48"/>
      <c r="M16" s="48"/>
      <c r="N16" s="48"/>
      <c r="O16" s="48"/>
      <c r="P16" s="48"/>
      <c r="Q16" s="48"/>
      <c r="R16" s="49"/>
      <c r="S16" s="46"/>
      <c r="T16" s="20"/>
      <c r="U16" s="4"/>
      <c r="V16" s="4"/>
      <c r="W16" s="4"/>
      <c r="X16" s="4"/>
      <c r="Y16" s="4"/>
      <c r="Z16" s="4"/>
    </row>
    <row r="17" ht="13.5" customHeight="1">
      <c r="A17" s="42"/>
      <c r="B17" s="50"/>
      <c r="R17" s="51"/>
      <c r="S17" s="46"/>
      <c r="T17" s="20"/>
      <c r="U17" s="4"/>
      <c r="V17" s="4"/>
      <c r="W17" s="4"/>
      <c r="X17" s="4"/>
      <c r="Y17" s="4"/>
      <c r="Z17" s="4"/>
    </row>
    <row r="18" ht="13.5" customHeight="1">
      <c r="A18" s="42"/>
      <c r="B18" s="50"/>
      <c r="R18" s="51"/>
      <c r="S18" s="46"/>
      <c r="T18" s="20"/>
      <c r="U18" s="4"/>
      <c r="V18" s="4"/>
      <c r="W18" s="4"/>
      <c r="X18" s="4"/>
      <c r="Y18" s="4"/>
      <c r="Z18" s="4"/>
    </row>
    <row r="19" ht="23.25" customHeight="1">
      <c r="A19" s="42"/>
      <c r="B19" s="52"/>
      <c r="C19" s="53"/>
      <c r="D19" s="53"/>
      <c r="E19" s="53"/>
      <c r="F19" s="53"/>
      <c r="G19" s="53"/>
      <c r="H19" s="53"/>
      <c r="I19" s="53"/>
      <c r="J19" s="53"/>
      <c r="K19" s="53"/>
      <c r="L19" s="53"/>
      <c r="M19" s="53"/>
      <c r="N19" s="53"/>
      <c r="O19" s="53"/>
      <c r="P19" s="53"/>
      <c r="Q19" s="53"/>
      <c r="R19" s="54"/>
      <c r="S19" s="46"/>
      <c r="T19" s="20"/>
      <c r="U19" s="4"/>
      <c r="V19" s="4"/>
      <c r="W19" s="4"/>
      <c r="X19" s="4"/>
      <c r="Y19" s="4"/>
      <c r="Z19" s="4"/>
    </row>
    <row r="20" ht="13.5" customHeight="1">
      <c r="A20" s="16"/>
      <c r="B20" s="57"/>
      <c r="C20" s="57"/>
      <c r="D20" s="57"/>
      <c r="E20" s="57"/>
      <c r="F20" s="57"/>
      <c r="G20" s="57"/>
      <c r="H20" s="57"/>
      <c r="I20" s="58"/>
      <c r="J20" s="58"/>
      <c r="K20" s="58"/>
      <c r="L20" s="57"/>
      <c r="M20" s="57"/>
      <c r="N20" s="57"/>
      <c r="O20" s="57"/>
      <c r="P20" s="57"/>
      <c r="Q20" s="57"/>
      <c r="R20" s="57"/>
      <c r="S20" s="19"/>
      <c r="T20" s="20"/>
      <c r="U20" s="4"/>
      <c r="V20" s="4"/>
      <c r="W20" s="4"/>
      <c r="X20" s="4"/>
      <c r="Y20" s="4"/>
      <c r="Z20" s="4"/>
    </row>
    <row r="21" ht="41.25" customHeight="1">
      <c r="A21" s="21"/>
      <c r="B21" s="59" t="s">
        <v>22</v>
      </c>
      <c r="C21" s="23"/>
      <c r="D21" s="60" t="s">
        <v>23</v>
      </c>
      <c r="E21" s="60" t="s">
        <v>24</v>
      </c>
      <c r="F21" s="60" t="s">
        <v>25</v>
      </c>
      <c r="G21" s="60" t="s">
        <v>26</v>
      </c>
      <c r="H21" s="60" t="s">
        <v>27</v>
      </c>
      <c r="I21" s="61"/>
      <c r="J21" s="19"/>
      <c r="K21" s="33"/>
      <c r="L21" s="62" t="s">
        <v>28</v>
      </c>
      <c r="M21" s="23"/>
      <c r="N21" s="60" t="s">
        <v>29</v>
      </c>
      <c r="O21" s="60" t="s">
        <v>30</v>
      </c>
      <c r="P21" s="60" t="s">
        <v>31</v>
      </c>
      <c r="Q21" s="60" t="s">
        <v>32</v>
      </c>
      <c r="R21" s="60" t="s">
        <v>33</v>
      </c>
      <c r="S21" s="26"/>
      <c r="T21" s="20"/>
      <c r="U21" s="4"/>
      <c r="V21" s="4"/>
      <c r="W21" s="4"/>
      <c r="X21" s="4"/>
      <c r="Y21" s="4"/>
      <c r="Z21" s="4"/>
    </row>
    <row r="22" ht="13.5" customHeight="1">
      <c r="A22" s="21"/>
      <c r="B22" s="63" t="s">
        <v>34</v>
      </c>
      <c r="C22" s="23"/>
      <c r="D22" s="37" t="str">
        <f t="shared" ref="D22:G22" si="1">#REF!</f>
        <v>#REF!</v>
      </c>
      <c r="E22" s="37" t="str">
        <f t="shared" si="1"/>
        <v>#REF!</v>
      </c>
      <c r="F22" s="37" t="str">
        <f t="shared" si="1"/>
        <v>#REF!</v>
      </c>
      <c r="G22" s="37" t="str">
        <f t="shared" si="1"/>
        <v>#REF!</v>
      </c>
      <c r="H22" s="37">
        <v>0.0</v>
      </c>
      <c r="I22" s="64" t="str">
        <f t="shared" ref="I22:I24" si="2">SUM(D22:H22)</f>
        <v>#REF!</v>
      </c>
      <c r="J22" s="26"/>
      <c r="K22" s="33"/>
      <c r="L22" s="63" t="s">
        <v>35</v>
      </c>
      <c r="M22" s="23"/>
      <c r="N22" s="37">
        <v>0.0</v>
      </c>
      <c r="O22" s="37">
        <v>0.0</v>
      </c>
      <c r="P22" s="65">
        <v>6.0</v>
      </c>
      <c r="Q22" s="65">
        <v>5.0</v>
      </c>
      <c r="R22" s="65">
        <v>1.0</v>
      </c>
      <c r="S22" s="26"/>
      <c r="T22" s="20"/>
      <c r="U22" s="4"/>
      <c r="V22" s="4"/>
      <c r="W22" s="4"/>
      <c r="X22" s="4"/>
      <c r="Y22" s="4"/>
      <c r="Z22" s="4"/>
    </row>
    <row r="23" ht="13.5" customHeight="1">
      <c r="A23" s="21"/>
      <c r="B23" s="63" t="s">
        <v>36</v>
      </c>
      <c r="C23" s="23"/>
      <c r="D23" s="37">
        <f>Sheet1!C23</f>
        <v>2</v>
      </c>
      <c r="E23" s="37">
        <f>Sheet1!C24</f>
        <v>2</v>
      </c>
      <c r="F23" s="37">
        <f>Sheet1!C25</f>
        <v>3</v>
      </c>
      <c r="G23" s="37" t="str">
        <f>Sheet1!C26</f>
        <v/>
      </c>
      <c r="H23" s="37">
        <v>0.0</v>
      </c>
      <c r="I23" s="64">
        <f t="shared" si="2"/>
        <v>7</v>
      </c>
      <c r="J23" s="26"/>
      <c r="K23" s="33"/>
      <c r="L23" s="63" t="s">
        <v>37</v>
      </c>
      <c r="M23" s="23"/>
      <c r="N23" s="37">
        <v>0.0</v>
      </c>
      <c r="O23" s="37">
        <v>0.0</v>
      </c>
      <c r="P23" s="37">
        <v>0.0</v>
      </c>
      <c r="Q23" s="37">
        <v>0.0</v>
      </c>
      <c r="R23" s="37">
        <v>0.0</v>
      </c>
      <c r="S23" s="26"/>
      <c r="T23" s="20"/>
      <c r="U23" s="4"/>
      <c r="V23" s="4"/>
      <c r="W23" s="4"/>
      <c r="X23" s="4"/>
      <c r="Y23" s="4"/>
      <c r="Z23" s="4"/>
    </row>
    <row r="24" ht="13.5" customHeight="1">
      <c r="A24" s="21"/>
      <c r="B24" s="63" t="s">
        <v>38</v>
      </c>
      <c r="C24" s="23"/>
      <c r="D24" s="37">
        <v>0.0</v>
      </c>
      <c r="E24" s="37">
        <v>0.0</v>
      </c>
      <c r="F24" s="37">
        <v>0.0</v>
      </c>
      <c r="G24" s="37">
        <v>0.0</v>
      </c>
      <c r="H24" s="37">
        <v>0.0</v>
      </c>
      <c r="I24" s="64">
        <f t="shared" si="2"/>
        <v>0</v>
      </c>
      <c r="J24" s="26"/>
      <c r="K24" s="33"/>
      <c r="L24" s="66"/>
      <c r="M24" s="67"/>
      <c r="N24" s="64">
        <f t="shared" ref="N24:R24" si="3">SUM(N22:N23)</f>
        <v>0</v>
      </c>
      <c r="O24" s="64">
        <f t="shared" si="3"/>
        <v>0</v>
      </c>
      <c r="P24" s="64">
        <f t="shared" si="3"/>
        <v>6</v>
      </c>
      <c r="Q24" s="64">
        <f t="shared" si="3"/>
        <v>5</v>
      </c>
      <c r="R24" s="64">
        <f t="shared" si="3"/>
        <v>1</v>
      </c>
      <c r="S24" s="26"/>
      <c r="T24" s="20"/>
      <c r="U24" s="4"/>
      <c r="V24" s="4"/>
      <c r="W24" s="4"/>
      <c r="X24" s="4"/>
      <c r="Y24" s="4"/>
      <c r="Z24" s="4"/>
    </row>
    <row r="25" ht="14.25" customHeight="1">
      <c r="A25" s="16"/>
      <c r="B25" s="39"/>
      <c r="C25" s="39"/>
      <c r="D25" s="39"/>
      <c r="E25" s="39"/>
      <c r="F25" s="39"/>
      <c r="G25" s="39"/>
      <c r="H25" s="68"/>
      <c r="I25" s="69" t="str">
        <f>SUM(I22:I24)</f>
        <v>#REF!</v>
      </c>
      <c r="J25" s="26"/>
      <c r="K25" s="33"/>
      <c r="L25" s="70" t="s">
        <v>39</v>
      </c>
      <c r="M25" s="23"/>
      <c r="N25" s="71">
        <v>6.0</v>
      </c>
      <c r="O25" s="72"/>
      <c r="P25" s="39"/>
      <c r="Q25" s="39"/>
      <c r="R25" s="39"/>
      <c r="S25" s="19"/>
      <c r="T25" s="20"/>
      <c r="U25" s="4"/>
      <c r="V25" s="4"/>
      <c r="W25" s="4"/>
      <c r="X25" s="4"/>
      <c r="Y25" s="4"/>
      <c r="Z25" s="4"/>
    </row>
    <row r="26" ht="14.25" customHeight="1">
      <c r="A26" s="16"/>
      <c r="B26" s="19"/>
      <c r="C26" s="19"/>
      <c r="D26" s="19"/>
      <c r="E26" s="19"/>
      <c r="F26" s="19"/>
      <c r="G26" s="19"/>
      <c r="H26" s="19"/>
      <c r="I26" s="19"/>
      <c r="J26" s="19"/>
      <c r="K26" s="33"/>
      <c r="L26" s="73" t="s">
        <v>40</v>
      </c>
      <c r="M26" s="23"/>
      <c r="N26" s="74">
        <v>6.0</v>
      </c>
      <c r="O26" s="26"/>
      <c r="P26" s="19"/>
      <c r="Q26" s="19"/>
      <c r="R26" s="19"/>
      <c r="S26" s="19"/>
      <c r="T26" s="20"/>
      <c r="U26" s="4"/>
      <c r="V26" s="4"/>
      <c r="W26" s="4"/>
      <c r="X26" s="4"/>
      <c r="Y26" s="4"/>
      <c r="Z26" s="4"/>
    </row>
    <row r="27" ht="15.0" customHeight="1">
      <c r="A27" s="16"/>
      <c r="B27" s="19"/>
      <c r="C27" s="19"/>
      <c r="D27" s="19"/>
      <c r="E27" s="19"/>
      <c r="F27" s="19"/>
      <c r="G27" s="19"/>
      <c r="H27" s="19"/>
      <c r="I27" s="19"/>
      <c r="J27" s="19"/>
      <c r="K27" s="33"/>
      <c r="L27" s="73" t="s">
        <v>41</v>
      </c>
      <c r="M27" s="23"/>
      <c r="N27" s="75">
        <v>0.0</v>
      </c>
      <c r="O27" s="26"/>
      <c r="P27" s="19"/>
      <c r="Q27" s="19"/>
      <c r="R27" s="19"/>
      <c r="S27" s="19"/>
      <c r="T27" s="20"/>
      <c r="U27" s="4"/>
      <c r="V27" s="4"/>
      <c r="W27" s="4"/>
      <c r="X27" s="4"/>
      <c r="Y27" s="4"/>
      <c r="Z27" s="4"/>
    </row>
    <row r="28" ht="15.75" customHeight="1">
      <c r="A28" s="16"/>
      <c r="B28" s="19"/>
      <c r="C28" s="19"/>
      <c r="D28" s="19"/>
      <c r="E28" s="19"/>
      <c r="F28" s="19"/>
      <c r="G28" s="19"/>
      <c r="H28" s="19"/>
      <c r="I28" s="19"/>
      <c r="J28" s="19"/>
      <c r="K28" s="19"/>
      <c r="L28" s="39"/>
      <c r="M28" s="39"/>
      <c r="N28" s="39"/>
      <c r="O28" s="19"/>
      <c r="P28" s="19"/>
      <c r="Q28" s="19"/>
      <c r="R28" s="19"/>
      <c r="S28" s="19"/>
      <c r="T28" s="20"/>
      <c r="U28" s="4"/>
      <c r="V28" s="4"/>
      <c r="W28" s="4"/>
      <c r="X28" s="4"/>
      <c r="Y28" s="4"/>
      <c r="Z28" s="4"/>
    </row>
    <row r="29" ht="15.0" customHeight="1">
      <c r="A29" s="16"/>
      <c r="B29" s="28" t="s">
        <v>42</v>
      </c>
      <c r="C29" s="29"/>
      <c r="D29" s="29"/>
      <c r="E29" s="29"/>
      <c r="F29" s="29"/>
      <c r="G29" s="29"/>
      <c r="H29" s="30"/>
      <c r="I29" s="31" t="str">
        <f>F31/B31</f>
        <v>#DIV/0!</v>
      </c>
      <c r="J29" s="29"/>
      <c r="K29" s="29"/>
      <c r="L29" s="19"/>
      <c r="M29" s="19"/>
      <c r="N29" s="19"/>
      <c r="O29" s="19"/>
      <c r="P29" s="19"/>
      <c r="Q29" s="19"/>
      <c r="R29" s="19"/>
      <c r="S29" s="19"/>
      <c r="T29" s="20"/>
      <c r="U29" s="4"/>
      <c r="V29" s="4"/>
      <c r="W29" s="4"/>
      <c r="X29" s="4"/>
      <c r="Y29" s="4"/>
      <c r="Z29" s="4"/>
    </row>
    <row r="30" ht="28.5" customHeight="1">
      <c r="A30" s="21"/>
      <c r="B30" s="76" t="s">
        <v>43</v>
      </c>
      <c r="C30" s="23"/>
      <c r="D30" s="76" t="s">
        <v>44</v>
      </c>
      <c r="E30" s="23"/>
      <c r="F30" s="76" t="s">
        <v>45</v>
      </c>
      <c r="G30" s="23"/>
      <c r="H30" s="76" t="s">
        <v>46</v>
      </c>
      <c r="I30" s="23"/>
      <c r="J30" s="76" t="s">
        <v>47</v>
      </c>
      <c r="K30" s="23"/>
      <c r="L30" s="26"/>
      <c r="M30" s="19"/>
      <c r="N30" s="19"/>
      <c r="O30" s="19"/>
      <c r="P30" s="19"/>
      <c r="Q30" s="19"/>
      <c r="R30" s="19"/>
      <c r="S30" s="19"/>
      <c r="T30" s="20"/>
      <c r="U30" s="4"/>
      <c r="V30" s="4"/>
      <c r="W30" s="4"/>
      <c r="X30" s="4"/>
      <c r="Y30" s="4"/>
      <c r="Z30" s="4"/>
    </row>
    <row r="31" ht="13.5" customHeight="1">
      <c r="A31" s="21"/>
      <c r="B31" s="77">
        <v>0.0</v>
      </c>
      <c r="C31" s="23"/>
      <c r="D31" s="77">
        <f>'TestCase Coverage'!J12</f>
        <v>13</v>
      </c>
      <c r="E31" s="23"/>
      <c r="F31" s="77">
        <f>'TestCase Coverage'!K12</f>
        <v>0</v>
      </c>
      <c r="G31" s="23"/>
      <c r="H31" s="77">
        <f>'TestCase Coverage'!L12</f>
        <v>14</v>
      </c>
      <c r="I31" s="23"/>
      <c r="J31" s="77">
        <f>'TestCase Coverage'!M12</f>
        <v>22</v>
      </c>
      <c r="K31" s="23"/>
      <c r="L31" s="26"/>
      <c r="M31" s="19"/>
      <c r="N31" s="19"/>
      <c r="O31" s="19"/>
      <c r="P31" s="19"/>
      <c r="Q31" s="19"/>
      <c r="R31" s="19"/>
      <c r="S31" s="19"/>
      <c r="T31" s="20"/>
      <c r="U31" s="4"/>
      <c r="V31" s="4"/>
      <c r="W31" s="4"/>
      <c r="X31" s="4"/>
      <c r="Y31" s="4"/>
      <c r="Z31" s="4"/>
    </row>
    <row r="32" ht="13.5" customHeight="1">
      <c r="A32" s="16"/>
      <c r="B32" s="39"/>
      <c r="C32" s="39"/>
      <c r="D32" s="39"/>
      <c r="E32" s="39"/>
      <c r="F32" s="39"/>
      <c r="G32" s="39"/>
      <c r="H32" s="39"/>
      <c r="I32" s="39"/>
      <c r="J32" s="39"/>
      <c r="K32" s="39"/>
      <c r="L32" s="19"/>
      <c r="M32" s="19"/>
      <c r="N32" s="19"/>
      <c r="O32" s="19"/>
      <c r="P32" s="19"/>
      <c r="Q32" s="19"/>
      <c r="R32" s="19"/>
      <c r="S32" s="19"/>
      <c r="T32" s="20"/>
      <c r="U32" s="4"/>
      <c r="V32" s="4"/>
      <c r="W32" s="4"/>
      <c r="X32" s="4"/>
      <c r="Y32" s="4"/>
      <c r="Z32" s="4"/>
    </row>
    <row r="33" ht="13.5" customHeight="1">
      <c r="A33" s="16"/>
      <c r="B33" s="19"/>
      <c r="C33" s="19"/>
      <c r="D33" s="19"/>
      <c r="E33" s="19"/>
      <c r="F33" s="19"/>
      <c r="G33" s="19"/>
      <c r="H33" s="19"/>
      <c r="I33" s="19"/>
      <c r="J33" s="19"/>
      <c r="K33" s="78"/>
      <c r="L33" s="19"/>
      <c r="M33" s="19"/>
      <c r="N33" s="19"/>
      <c r="O33" s="19"/>
      <c r="P33" s="19"/>
      <c r="Q33" s="19"/>
      <c r="R33" s="19"/>
      <c r="S33" s="19"/>
      <c r="T33" s="20"/>
      <c r="U33" s="4"/>
      <c r="V33" s="4"/>
      <c r="W33" s="4"/>
      <c r="X33" s="4"/>
      <c r="Y33" s="4"/>
      <c r="Z33" s="4"/>
    </row>
    <row r="34" ht="13.5" customHeight="1">
      <c r="A34" s="79"/>
      <c r="B34" s="80"/>
      <c r="C34" s="80"/>
      <c r="D34" s="80"/>
      <c r="E34" s="80"/>
      <c r="F34" s="80"/>
      <c r="G34" s="80"/>
      <c r="H34" s="80"/>
      <c r="I34" s="80"/>
      <c r="J34" s="80"/>
      <c r="K34" s="81"/>
      <c r="L34" s="80"/>
      <c r="M34" s="80"/>
      <c r="N34" s="80"/>
      <c r="O34" s="80"/>
      <c r="P34" s="80"/>
      <c r="Q34" s="80"/>
      <c r="R34" s="80"/>
      <c r="S34" s="80"/>
      <c r="T34" s="82"/>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1">
    <mergeCell ref="L4:O4"/>
    <mergeCell ref="P4:R4"/>
    <mergeCell ref="A1:J1"/>
    <mergeCell ref="K1:N1"/>
    <mergeCell ref="O1:T1"/>
    <mergeCell ref="B3:C3"/>
    <mergeCell ref="D3:E3"/>
    <mergeCell ref="B4:C4"/>
    <mergeCell ref="D4:E4"/>
    <mergeCell ref="B5:C5"/>
    <mergeCell ref="D5:E5"/>
    <mergeCell ref="B6:C6"/>
    <mergeCell ref="D6:E6"/>
    <mergeCell ref="B7:C7"/>
    <mergeCell ref="D7:E7"/>
    <mergeCell ref="B9:R9"/>
    <mergeCell ref="B10:R14"/>
    <mergeCell ref="B15:R15"/>
    <mergeCell ref="B16:R19"/>
    <mergeCell ref="B21:C21"/>
    <mergeCell ref="L21:M21"/>
    <mergeCell ref="B22:C22"/>
    <mergeCell ref="B23:C23"/>
    <mergeCell ref="B24:C24"/>
    <mergeCell ref="L22:M22"/>
    <mergeCell ref="L23:M23"/>
    <mergeCell ref="L25:M25"/>
    <mergeCell ref="L26:M26"/>
    <mergeCell ref="L27:M27"/>
    <mergeCell ref="B29:H29"/>
    <mergeCell ref="I29:K29"/>
    <mergeCell ref="F31:G31"/>
    <mergeCell ref="H31:I31"/>
    <mergeCell ref="B30:C30"/>
    <mergeCell ref="D30:E30"/>
    <mergeCell ref="F30:G30"/>
    <mergeCell ref="H30:I30"/>
    <mergeCell ref="J30:K30"/>
    <mergeCell ref="B31:C31"/>
    <mergeCell ref="D31:E31"/>
    <mergeCell ref="J31:K31"/>
  </mergeCells>
  <conditionalFormatting sqref="D7">
    <cfRule type="cellIs" dxfId="0" priority="1" stopIfTrue="1" operator="equal">
      <formula>"Green"</formula>
    </cfRule>
  </conditionalFormatting>
  <conditionalFormatting sqref="D7">
    <cfRule type="cellIs" dxfId="1" priority="2" stopIfTrue="1" operator="equal">
      <formula>"Amber"</formula>
    </cfRule>
  </conditionalFormatting>
  <conditionalFormatting sqref="D7">
    <cfRule type="cellIs" dxfId="2" priority="3" stopIfTrue="1" operator="equal">
      <formula>"Red"</formula>
    </cfRule>
  </conditionalFormatting>
  <conditionalFormatting sqref="D6:E6 I29 P4">
    <cfRule type="cellIs" dxfId="3" priority="4" stopIfTrue="1" operator="between">
      <formula>0.6</formula>
      <formula>0.79</formula>
    </cfRule>
  </conditionalFormatting>
  <conditionalFormatting sqref="D6:E6 I29 P4">
    <cfRule type="cellIs" dxfId="4" priority="5" stopIfTrue="1" operator="lessThan">
      <formula>0.6</formula>
    </cfRule>
  </conditionalFormatting>
  <conditionalFormatting sqref="D6:E6 I29 P4">
    <cfRule type="cellIs" dxfId="0" priority="6" stopIfTrue="1" operator="greaterThanOrEqual">
      <formula>0.8</formula>
    </cfRule>
  </conditionalFormatting>
  <dataValidations>
    <dataValidation type="list" allowBlank="1" showErrorMessage="1" sqref="D7">
      <formula1>"Green,Amber,Red"</formula1>
    </dataValidation>
  </dataValidations>
  <printOptions/>
  <pageMargins bottom="0.75" footer="0.0" header="0.0" left="0.7" right="0.7" top="0.75"/>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0.57"/>
    <col customWidth="1" min="2" max="2" width="22.43"/>
    <col customWidth="1" min="3" max="3" width="37.43"/>
    <col customWidth="1" min="4" max="4" width="62.71"/>
    <col customWidth="1" min="5" max="6" width="81.0"/>
    <col customWidth="1" min="7" max="7" width="19.29"/>
    <col customWidth="1" min="8" max="8" width="21.43"/>
    <col customWidth="1" min="9" max="9" width="17.57"/>
    <col customWidth="1" min="10" max="10" width="22.57"/>
    <col customWidth="1" min="11" max="13" width="19.71"/>
    <col customWidth="1" min="14" max="24" width="9.14"/>
  </cols>
  <sheetData>
    <row r="1">
      <c r="A1" s="83"/>
      <c r="B1" s="84"/>
      <c r="C1" s="84"/>
      <c r="D1" s="84"/>
      <c r="E1" s="84"/>
      <c r="F1" s="84"/>
      <c r="G1" s="84"/>
      <c r="H1" s="84"/>
      <c r="I1" s="84"/>
      <c r="J1" s="84"/>
      <c r="K1" s="84"/>
      <c r="L1" s="84"/>
      <c r="M1" s="85"/>
      <c r="N1" s="86"/>
      <c r="O1" s="86"/>
      <c r="P1" s="86"/>
      <c r="Q1" s="86"/>
      <c r="R1" s="86"/>
      <c r="S1" s="86"/>
      <c r="T1" s="86"/>
      <c r="U1" s="86"/>
      <c r="V1" s="86"/>
      <c r="W1" s="86"/>
      <c r="X1" s="86"/>
    </row>
    <row r="2">
      <c r="A2" s="87" t="s">
        <v>48</v>
      </c>
      <c r="B2" s="88">
        <f>SUM(C12:F12)/B12</f>
        <v>1</v>
      </c>
      <c r="C2" s="89"/>
      <c r="D2" s="89"/>
      <c r="E2" s="89"/>
      <c r="F2" s="89"/>
      <c r="G2" s="89"/>
      <c r="H2" s="89"/>
      <c r="I2" s="89"/>
      <c r="J2" s="89"/>
      <c r="K2" s="90"/>
      <c r="L2" s="85"/>
      <c r="M2" s="88" t="str">
        <f>K12/I12</f>
        <v>#DIV/0!</v>
      </c>
      <c r="N2" s="86"/>
      <c r="O2" s="86"/>
      <c r="P2" s="86"/>
      <c r="Q2" s="86"/>
      <c r="R2" s="86"/>
      <c r="S2" s="86"/>
      <c r="T2" s="86"/>
      <c r="U2" s="86"/>
      <c r="V2" s="86"/>
      <c r="W2" s="86"/>
      <c r="X2" s="86"/>
    </row>
    <row r="3">
      <c r="A3" s="91" t="s">
        <v>8</v>
      </c>
      <c r="B3" s="91" t="s">
        <v>9</v>
      </c>
      <c r="C3" s="91" t="s">
        <v>10</v>
      </c>
      <c r="D3" s="91" t="s">
        <v>11</v>
      </c>
      <c r="E3" s="91" t="s">
        <v>12</v>
      </c>
      <c r="F3" s="91" t="s">
        <v>13</v>
      </c>
      <c r="G3" s="91" t="s">
        <v>49</v>
      </c>
      <c r="H3" s="91" t="s">
        <v>14</v>
      </c>
      <c r="I3" s="92" t="s">
        <v>43</v>
      </c>
      <c r="J3" s="92" t="s">
        <v>44</v>
      </c>
      <c r="K3" s="92" t="s">
        <v>45</v>
      </c>
      <c r="L3" s="92" t="s">
        <v>46</v>
      </c>
      <c r="M3" s="92" t="s">
        <v>47</v>
      </c>
      <c r="N3" s="86"/>
      <c r="O3" s="86"/>
      <c r="P3" s="86"/>
      <c r="Q3" s="86"/>
      <c r="R3" s="86"/>
      <c r="S3" s="86"/>
      <c r="T3" s="86"/>
      <c r="U3" s="86"/>
      <c r="V3" s="86"/>
      <c r="W3" s="86"/>
      <c r="X3" s="86"/>
    </row>
    <row r="4">
      <c r="A4" s="93" t="s">
        <v>50</v>
      </c>
      <c r="B4" s="94">
        <v>6.0</v>
      </c>
      <c r="C4" s="94">
        <v>6.0</v>
      </c>
      <c r="D4" s="89">
        <v>0.0</v>
      </c>
      <c r="E4" s="89">
        <v>0.0</v>
      </c>
      <c r="F4" s="89">
        <v>0.0</v>
      </c>
      <c r="G4" s="89">
        <v>0.0</v>
      </c>
      <c r="H4" s="89">
        <v>0.0</v>
      </c>
      <c r="I4" s="89">
        <v>0.0</v>
      </c>
      <c r="J4" s="94">
        <v>6.0</v>
      </c>
      <c r="K4" s="94">
        <v>0.0</v>
      </c>
      <c r="L4" s="89">
        <v>0.0</v>
      </c>
      <c r="M4" s="89">
        <v>0.0</v>
      </c>
      <c r="N4" s="86"/>
      <c r="O4" s="86"/>
      <c r="P4" s="86"/>
      <c r="Q4" s="86"/>
      <c r="R4" s="86"/>
      <c r="S4" s="86"/>
      <c r="T4" s="86"/>
      <c r="U4" s="86"/>
      <c r="V4" s="86"/>
      <c r="W4" s="86"/>
      <c r="X4" s="86"/>
    </row>
    <row r="5">
      <c r="A5" s="95" t="s">
        <v>51</v>
      </c>
      <c r="B5" s="94">
        <v>7.0</v>
      </c>
      <c r="C5" s="94">
        <v>7.0</v>
      </c>
      <c r="D5" s="89">
        <v>0.0</v>
      </c>
      <c r="E5" s="89">
        <v>0.0</v>
      </c>
      <c r="F5" s="89">
        <v>0.0</v>
      </c>
      <c r="G5" s="89">
        <v>0.0</v>
      </c>
      <c r="H5" s="89">
        <v>0.0</v>
      </c>
      <c r="I5" s="89">
        <v>0.0</v>
      </c>
      <c r="J5" s="94">
        <v>7.0</v>
      </c>
      <c r="K5" s="96">
        <v>0.0</v>
      </c>
      <c r="L5" s="89">
        <v>0.0</v>
      </c>
      <c r="M5" s="89">
        <v>0.0</v>
      </c>
      <c r="N5" s="86"/>
      <c r="O5" s="86"/>
      <c r="P5" s="86"/>
      <c r="Q5" s="86"/>
      <c r="R5" s="86"/>
      <c r="S5" s="86"/>
      <c r="T5" s="86"/>
      <c r="U5" s="86"/>
      <c r="V5" s="86"/>
      <c r="W5" s="86"/>
      <c r="X5" s="86"/>
    </row>
    <row r="6">
      <c r="A6" s="93" t="s">
        <v>52</v>
      </c>
      <c r="B6" s="94">
        <v>8.0</v>
      </c>
      <c r="C6" s="94">
        <v>8.0</v>
      </c>
      <c r="D6" s="89">
        <v>0.0</v>
      </c>
      <c r="E6" s="89">
        <v>0.0</v>
      </c>
      <c r="F6" s="89">
        <v>0.0</v>
      </c>
      <c r="G6" s="89">
        <v>0.0</v>
      </c>
      <c r="H6" s="89">
        <v>0.0</v>
      </c>
      <c r="I6" s="89">
        <v>0.0</v>
      </c>
      <c r="J6" s="89">
        <v>0.0</v>
      </c>
      <c r="K6" s="89">
        <v>0.0</v>
      </c>
      <c r="L6" s="89">
        <v>0.0</v>
      </c>
      <c r="M6" s="94">
        <v>8.0</v>
      </c>
      <c r="N6" s="86"/>
      <c r="O6" s="86"/>
      <c r="P6" s="86"/>
      <c r="Q6" s="86"/>
      <c r="R6" s="86"/>
      <c r="S6" s="86"/>
      <c r="T6" s="86"/>
      <c r="U6" s="86"/>
      <c r="V6" s="86"/>
      <c r="W6" s="86"/>
      <c r="X6" s="86"/>
    </row>
    <row r="7">
      <c r="A7" s="93" t="s">
        <v>53</v>
      </c>
      <c r="B7" s="94">
        <v>14.0</v>
      </c>
      <c r="C7" s="94">
        <v>14.0</v>
      </c>
      <c r="D7" s="89">
        <v>0.0</v>
      </c>
      <c r="E7" s="89">
        <v>0.0</v>
      </c>
      <c r="F7" s="89">
        <v>0.0</v>
      </c>
      <c r="G7" s="89">
        <v>0.0</v>
      </c>
      <c r="H7" s="89">
        <v>0.0</v>
      </c>
      <c r="I7" s="89">
        <v>0.0</v>
      </c>
      <c r="J7" s="89">
        <v>0.0</v>
      </c>
      <c r="K7" s="96">
        <v>0.0</v>
      </c>
      <c r="L7" s="94">
        <v>0.0</v>
      </c>
      <c r="M7" s="94">
        <v>14.0</v>
      </c>
      <c r="N7" s="86"/>
      <c r="O7" s="86"/>
      <c r="P7" s="86"/>
      <c r="Q7" s="86"/>
      <c r="R7" s="86"/>
      <c r="S7" s="86"/>
      <c r="T7" s="86"/>
      <c r="U7" s="86"/>
      <c r="V7" s="86"/>
      <c r="W7" s="86"/>
      <c r="X7" s="86"/>
    </row>
    <row r="8">
      <c r="A8" s="93" t="s">
        <v>54</v>
      </c>
      <c r="B8" s="94">
        <v>10.0</v>
      </c>
      <c r="C8" s="94">
        <v>10.0</v>
      </c>
      <c r="D8" s="89">
        <v>0.0</v>
      </c>
      <c r="E8" s="89">
        <v>0.0</v>
      </c>
      <c r="F8" s="89">
        <v>0.0</v>
      </c>
      <c r="G8" s="89">
        <v>0.0</v>
      </c>
      <c r="H8" s="89">
        <v>0.0</v>
      </c>
      <c r="I8" s="89">
        <v>0.0</v>
      </c>
      <c r="J8" s="89">
        <v>0.0</v>
      </c>
      <c r="K8" s="89">
        <v>0.0</v>
      </c>
      <c r="L8" s="94">
        <v>10.0</v>
      </c>
      <c r="M8" s="89">
        <v>0.0</v>
      </c>
      <c r="N8" s="86"/>
      <c r="O8" s="86"/>
      <c r="P8" s="86"/>
      <c r="Q8" s="86"/>
      <c r="R8" s="86"/>
      <c r="S8" s="86"/>
      <c r="T8" s="86"/>
      <c r="U8" s="86"/>
      <c r="V8" s="86"/>
      <c r="W8" s="86"/>
      <c r="X8" s="86"/>
    </row>
    <row r="9">
      <c r="A9" s="93" t="s">
        <v>55</v>
      </c>
      <c r="B9" s="94">
        <v>4.0</v>
      </c>
      <c r="C9" s="94">
        <v>4.0</v>
      </c>
      <c r="D9" s="89">
        <v>0.0</v>
      </c>
      <c r="E9" s="89">
        <v>0.0</v>
      </c>
      <c r="F9" s="89">
        <v>0.0</v>
      </c>
      <c r="G9" s="89">
        <v>0.0</v>
      </c>
      <c r="H9" s="89">
        <v>0.0</v>
      </c>
      <c r="I9" s="89">
        <v>0.0</v>
      </c>
      <c r="J9" s="89">
        <v>0.0</v>
      </c>
      <c r="K9" s="89">
        <v>0.0</v>
      </c>
      <c r="L9" s="94">
        <v>4.0</v>
      </c>
      <c r="M9" s="89">
        <v>0.0</v>
      </c>
      <c r="N9" s="86"/>
      <c r="O9" s="86"/>
      <c r="P9" s="86"/>
      <c r="Q9" s="86"/>
      <c r="R9" s="86"/>
      <c r="S9" s="86"/>
      <c r="T9" s="86"/>
      <c r="U9" s="86"/>
      <c r="V9" s="86"/>
      <c r="W9" s="86"/>
      <c r="X9" s="86"/>
    </row>
    <row r="10">
      <c r="A10" s="97"/>
      <c r="B10" s="89"/>
      <c r="C10" s="89"/>
      <c r="D10" s="89"/>
      <c r="E10" s="89"/>
      <c r="F10" s="89"/>
      <c r="G10" s="89"/>
      <c r="H10" s="89"/>
      <c r="I10" s="89"/>
      <c r="J10" s="96"/>
      <c r="K10" s="96"/>
      <c r="L10" s="96"/>
      <c r="M10" s="89"/>
      <c r="N10" s="86"/>
      <c r="O10" s="86"/>
      <c r="P10" s="86"/>
      <c r="Q10" s="86"/>
      <c r="R10" s="86"/>
      <c r="S10" s="86"/>
      <c r="T10" s="86"/>
      <c r="U10" s="86"/>
      <c r="V10" s="86"/>
      <c r="W10" s="86"/>
      <c r="X10" s="86"/>
    </row>
    <row r="11">
      <c r="A11" s="98"/>
      <c r="B11" s="89"/>
      <c r="C11" s="89"/>
      <c r="D11" s="89"/>
      <c r="E11" s="89"/>
      <c r="F11" s="89"/>
      <c r="G11" s="89"/>
      <c r="H11" s="89"/>
      <c r="I11" s="89"/>
      <c r="J11" s="96"/>
      <c r="K11" s="96"/>
      <c r="L11" s="96"/>
      <c r="M11" s="89"/>
      <c r="N11" s="86"/>
      <c r="O11" s="86"/>
      <c r="P11" s="86"/>
      <c r="Q11" s="86"/>
      <c r="R11" s="86"/>
      <c r="S11" s="86"/>
      <c r="T11" s="86"/>
      <c r="U11" s="86"/>
      <c r="V11" s="86"/>
      <c r="W11" s="86"/>
      <c r="X11" s="86"/>
    </row>
    <row r="12">
      <c r="A12" s="99">
        <f>COUNTA(A4:A11)</f>
        <v>6</v>
      </c>
      <c r="B12" s="99">
        <f t="shared" ref="B12:M12" si="1">SUM(B4:B11)</f>
        <v>49</v>
      </c>
      <c r="C12" s="99">
        <f t="shared" si="1"/>
        <v>49</v>
      </c>
      <c r="D12" s="99">
        <f t="shared" si="1"/>
        <v>0</v>
      </c>
      <c r="E12" s="99">
        <f t="shared" si="1"/>
        <v>0</v>
      </c>
      <c r="F12" s="99">
        <f t="shared" si="1"/>
        <v>0</v>
      </c>
      <c r="G12" s="99">
        <f t="shared" si="1"/>
        <v>0</v>
      </c>
      <c r="H12" s="99">
        <f t="shared" si="1"/>
        <v>0</v>
      </c>
      <c r="I12" s="99">
        <f t="shared" si="1"/>
        <v>0</v>
      </c>
      <c r="J12" s="99">
        <f t="shared" si="1"/>
        <v>13</v>
      </c>
      <c r="K12" s="99">
        <f t="shared" si="1"/>
        <v>0</v>
      </c>
      <c r="L12" s="99">
        <f t="shared" si="1"/>
        <v>14</v>
      </c>
      <c r="M12" s="99">
        <f t="shared" si="1"/>
        <v>22</v>
      </c>
      <c r="N12" s="86"/>
      <c r="O12" s="86"/>
      <c r="P12" s="86"/>
      <c r="Q12" s="86"/>
      <c r="R12" s="86"/>
      <c r="S12" s="86"/>
      <c r="T12" s="86"/>
      <c r="U12" s="86"/>
      <c r="V12" s="86"/>
      <c r="W12" s="86"/>
      <c r="X12" s="86"/>
    </row>
    <row r="13">
      <c r="A13" s="100"/>
      <c r="B13" s="100"/>
      <c r="C13" s="100"/>
      <c r="D13" s="100"/>
      <c r="E13" s="100"/>
      <c r="F13" s="100"/>
      <c r="G13" s="100"/>
      <c r="H13" s="100"/>
      <c r="I13" s="100"/>
      <c r="J13" s="100"/>
      <c r="K13" s="100"/>
      <c r="L13" s="100"/>
      <c r="M13" s="100"/>
      <c r="N13" s="86"/>
      <c r="O13" s="86"/>
      <c r="P13" s="86"/>
      <c r="Q13" s="86"/>
      <c r="R13" s="86"/>
      <c r="S13" s="86"/>
      <c r="T13" s="86"/>
      <c r="U13" s="86"/>
      <c r="V13" s="86"/>
      <c r="W13" s="86"/>
      <c r="X13" s="86"/>
    </row>
    <row r="14">
      <c r="A14" s="91" t="s">
        <v>8</v>
      </c>
      <c r="B14" s="91" t="s">
        <v>56</v>
      </c>
      <c r="C14" s="91" t="s">
        <v>57</v>
      </c>
      <c r="D14" s="91" t="s">
        <v>58</v>
      </c>
      <c r="E14" s="91" t="s">
        <v>59</v>
      </c>
      <c r="F14" s="91" t="s">
        <v>60</v>
      </c>
      <c r="G14" s="91" t="s">
        <v>61</v>
      </c>
      <c r="H14" s="91" t="s">
        <v>62</v>
      </c>
      <c r="I14" s="91" t="s">
        <v>63</v>
      </c>
      <c r="J14" s="91" t="s">
        <v>64</v>
      </c>
      <c r="K14" s="101"/>
      <c r="L14" s="101"/>
      <c r="M14" s="102"/>
      <c r="N14" s="86"/>
      <c r="O14" s="86"/>
      <c r="P14" s="86"/>
      <c r="Q14" s="86"/>
      <c r="R14" s="86"/>
      <c r="S14" s="86"/>
      <c r="T14" s="86"/>
      <c r="U14" s="86"/>
      <c r="V14" s="86"/>
      <c r="W14" s="86"/>
      <c r="X14" s="86"/>
    </row>
    <row r="15">
      <c r="A15" s="93" t="s">
        <v>65</v>
      </c>
      <c r="B15" s="103" t="s">
        <v>66</v>
      </c>
      <c r="C15" s="104" t="s">
        <v>67</v>
      </c>
      <c r="D15" s="105" t="s">
        <v>68</v>
      </c>
      <c r="E15" s="105" t="s">
        <v>69</v>
      </c>
      <c r="F15" s="105" t="s">
        <v>70</v>
      </c>
      <c r="G15" s="106" t="s">
        <v>10</v>
      </c>
      <c r="H15" s="107" t="s">
        <v>71</v>
      </c>
      <c r="I15" s="108" t="s">
        <v>72</v>
      </c>
      <c r="J15" s="108" t="s">
        <v>73</v>
      </c>
      <c r="K15" s="109"/>
      <c r="L15" s="109"/>
      <c r="M15" s="86"/>
      <c r="N15" s="86"/>
      <c r="O15" s="86"/>
      <c r="P15" s="86"/>
      <c r="Q15" s="86"/>
      <c r="R15" s="86"/>
      <c r="S15" s="86"/>
      <c r="T15" s="86"/>
      <c r="U15" s="86"/>
      <c r="V15" s="86"/>
      <c r="W15" s="86"/>
      <c r="X15" s="86"/>
    </row>
    <row r="16">
      <c r="A16" s="110"/>
      <c r="B16" s="103" t="s">
        <v>66</v>
      </c>
      <c r="C16" s="104" t="s">
        <v>74</v>
      </c>
      <c r="D16" s="105" t="s">
        <v>75</v>
      </c>
      <c r="E16" s="105" t="s">
        <v>76</v>
      </c>
      <c r="F16" s="105" t="s">
        <v>77</v>
      </c>
      <c r="G16" s="106" t="s">
        <v>10</v>
      </c>
      <c r="H16" s="107" t="s">
        <v>71</v>
      </c>
      <c r="I16" s="108" t="s">
        <v>72</v>
      </c>
      <c r="J16" s="108" t="s">
        <v>73</v>
      </c>
      <c r="K16" s="109"/>
      <c r="L16" s="109"/>
      <c r="M16" s="86"/>
      <c r="N16" s="86"/>
      <c r="O16" s="86"/>
      <c r="P16" s="86"/>
      <c r="Q16" s="86"/>
      <c r="R16" s="86"/>
      <c r="S16" s="86"/>
      <c r="T16" s="86"/>
      <c r="U16" s="86"/>
      <c r="V16" s="86"/>
      <c r="W16" s="86"/>
      <c r="X16" s="86"/>
    </row>
    <row r="17">
      <c r="A17" s="110"/>
      <c r="B17" s="103" t="s">
        <v>66</v>
      </c>
      <c r="C17" s="104" t="s">
        <v>78</v>
      </c>
      <c r="D17" s="105" t="s">
        <v>79</v>
      </c>
      <c r="E17" s="105" t="s">
        <v>80</v>
      </c>
      <c r="F17" s="105" t="s">
        <v>81</v>
      </c>
      <c r="G17" s="106" t="s">
        <v>10</v>
      </c>
      <c r="H17" s="107" t="s">
        <v>71</v>
      </c>
      <c r="I17" s="108" t="s">
        <v>72</v>
      </c>
      <c r="J17" s="108" t="s">
        <v>73</v>
      </c>
      <c r="K17" s="109"/>
      <c r="L17" s="109"/>
      <c r="M17" s="86"/>
      <c r="N17" s="86"/>
      <c r="O17" s="86"/>
      <c r="P17" s="86"/>
      <c r="Q17" s="86"/>
      <c r="R17" s="86"/>
      <c r="S17" s="86"/>
      <c r="T17" s="86"/>
      <c r="U17" s="86"/>
      <c r="V17" s="86"/>
      <c r="W17" s="86"/>
      <c r="X17" s="86"/>
    </row>
    <row r="18">
      <c r="A18" s="110"/>
      <c r="B18" s="103" t="s">
        <v>66</v>
      </c>
      <c r="C18" s="104" t="s">
        <v>82</v>
      </c>
      <c r="D18" s="111" t="s">
        <v>83</v>
      </c>
      <c r="E18" s="111" t="s">
        <v>84</v>
      </c>
      <c r="F18" s="105" t="s">
        <v>85</v>
      </c>
      <c r="G18" s="106" t="s">
        <v>10</v>
      </c>
      <c r="H18" s="107" t="s">
        <v>71</v>
      </c>
      <c r="I18" s="108" t="s">
        <v>72</v>
      </c>
      <c r="J18" s="108" t="s">
        <v>73</v>
      </c>
      <c r="K18" s="109"/>
      <c r="L18" s="109"/>
      <c r="M18" s="86"/>
      <c r="N18" s="86"/>
      <c r="O18" s="86"/>
      <c r="P18" s="86"/>
      <c r="Q18" s="86"/>
      <c r="R18" s="86"/>
      <c r="S18" s="86"/>
      <c r="T18" s="86"/>
      <c r="U18" s="86"/>
      <c r="V18" s="86"/>
      <c r="W18" s="86"/>
      <c r="X18" s="86"/>
    </row>
    <row r="19">
      <c r="A19" s="110"/>
      <c r="B19" s="103" t="s">
        <v>66</v>
      </c>
      <c r="C19" s="104" t="s">
        <v>86</v>
      </c>
      <c r="D19" s="111" t="s">
        <v>87</v>
      </c>
      <c r="E19" s="111" t="s">
        <v>88</v>
      </c>
      <c r="F19" s="105" t="s">
        <v>89</v>
      </c>
      <c r="G19" s="106" t="s">
        <v>10</v>
      </c>
      <c r="H19" s="107" t="s">
        <v>71</v>
      </c>
      <c r="I19" s="108" t="s">
        <v>72</v>
      </c>
      <c r="J19" s="108" t="s">
        <v>73</v>
      </c>
      <c r="K19" s="109"/>
      <c r="L19" s="109"/>
      <c r="M19" s="86"/>
      <c r="N19" s="86"/>
      <c r="O19" s="86"/>
      <c r="P19" s="86"/>
      <c r="Q19" s="86"/>
      <c r="R19" s="86"/>
      <c r="S19" s="86"/>
      <c r="T19" s="86"/>
      <c r="U19" s="86"/>
      <c r="V19" s="86"/>
      <c r="W19" s="86"/>
      <c r="X19" s="86"/>
    </row>
    <row r="20">
      <c r="A20" s="110"/>
      <c r="B20" s="103" t="s">
        <v>66</v>
      </c>
      <c r="C20" s="104" t="s">
        <v>90</v>
      </c>
      <c r="D20" s="111" t="s">
        <v>91</v>
      </c>
      <c r="E20" s="111" t="s">
        <v>92</v>
      </c>
      <c r="F20" s="105" t="s">
        <v>93</v>
      </c>
      <c r="G20" s="106" t="s">
        <v>10</v>
      </c>
      <c r="H20" s="107" t="s">
        <v>71</v>
      </c>
      <c r="I20" s="108" t="s">
        <v>72</v>
      </c>
      <c r="J20" s="108" t="s">
        <v>73</v>
      </c>
      <c r="K20" s="109"/>
      <c r="L20" s="109"/>
      <c r="M20" s="86"/>
      <c r="N20" s="86"/>
      <c r="O20" s="86"/>
      <c r="P20" s="86"/>
      <c r="Q20" s="86"/>
      <c r="R20" s="86"/>
      <c r="S20" s="86"/>
      <c r="T20" s="86"/>
      <c r="U20" s="86"/>
      <c r="V20" s="86"/>
      <c r="W20" s="86"/>
      <c r="X20" s="86"/>
    </row>
    <row r="21">
      <c r="A21" s="112"/>
      <c r="B21" s="113"/>
      <c r="C21" s="114"/>
      <c r="D21" s="115"/>
      <c r="E21" s="115"/>
      <c r="F21" s="115"/>
      <c r="G21" s="116"/>
      <c r="H21" s="117"/>
      <c r="I21" s="118"/>
      <c r="J21" s="118"/>
      <c r="K21" s="109"/>
      <c r="L21" s="109"/>
      <c r="M21" s="86"/>
      <c r="N21" s="86"/>
      <c r="O21" s="86"/>
      <c r="P21" s="86"/>
      <c r="Q21" s="86"/>
      <c r="R21" s="86"/>
      <c r="S21" s="86"/>
      <c r="T21" s="86"/>
      <c r="U21" s="86"/>
      <c r="V21" s="86"/>
      <c r="W21" s="86"/>
      <c r="X21" s="86"/>
    </row>
    <row r="22">
      <c r="A22" s="95" t="s">
        <v>94</v>
      </c>
      <c r="B22" s="119" t="s">
        <v>95</v>
      </c>
      <c r="C22" s="104" t="s">
        <v>96</v>
      </c>
      <c r="D22" s="105" t="s">
        <v>97</v>
      </c>
      <c r="E22" s="105" t="s">
        <v>69</v>
      </c>
      <c r="F22" s="105" t="s">
        <v>98</v>
      </c>
      <c r="G22" s="106" t="s">
        <v>10</v>
      </c>
      <c r="H22" s="107" t="s">
        <v>71</v>
      </c>
      <c r="I22" s="108" t="s">
        <v>72</v>
      </c>
      <c r="J22" s="108" t="s">
        <v>73</v>
      </c>
      <c r="K22" s="101"/>
      <c r="L22" s="101"/>
      <c r="M22" s="120"/>
      <c r="N22" s="86"/>
      <c r="O22" s="86"/>
      <c r="P22" s="86"/>
      <c r="Q22" s="86"/>
      <c r="R22" s="86"/>
      <c r="S22" s="86"/>
      <c r="T22" s="86"/>
      <c r="U22" s="86"/>
      <c r="V22" s="86"/>
      <c r="W22" s="86"/>
      <c r="X22" s="86"/>
    </row>
    <row r="23">
      <c r="A23" s="93"/>
      <c r="B23" s="119" t="s">
        <v>95</v>
      </c>
      <c r="C23" s="104" t="s">
        <v>99</v>
      </c>
      <c r="D23" s="105" t="s">
        <v>97</v>
      </c>
      <c r="E23" s="105" t="s">
        <v>69</v>
      </c>
      <c r="F23" s="105" t="s">
        <v>100</v>
      </c>
      <c r="G23" s="106" t="s">
        <v>10</v>
      </c>
      <c r="H23" s="107" t="s">
        <v>71</v>
      </c>
      <c r="I23" s="108" t="s">
        <v>72</v>
      </c>
      <c r="J23" s="108" t="s">
        <v>73</v>
      </c>
      <c r="K23" s="109"/>
      <c r="L23" s="109"/>
      <c r="M23" s="86"/>
      <c r="N23" s="86"/>
      <c r="O23" s="86"/>
      <c r="P23" s="86"/>
      <c r="Q23" s="86"/>
      <c r="R23" s="86"/>
      <c r="S23" s="86"/>
      <c r="T23" s="86"/>
      <c r="U23" s="86"/>
      <c r="V23" s="86"/>
      <c r="W23" s="86"/>
      <c r="X23" s="86"/>
    </row>
    <row r="24">
      <c r="A24" s="93"/>
      <c r="B24" s="119" t="s">
        <v>95</v>
      </c>
      <c r="C24" s="104" t="s">
        <v>101</v>
      </c>
      <c r="D24" s="105" t="s">
        <v>102</v>
      </c>
      <c r="E24" s="105" t="s">
        <v>103</v>
      </c>
      <c r="F24" s="105" t="s">
        <v>104</v>
      </c>
      <c r="G24" s="106" t="s">
        <v>10</v>
      </c>
      <c r="H24" s="107" t="s">
        <v>71</v>
      </c>
      <c r="I24" s="108" t="s">
        <v>72</v>
      </c>
      <c r="J24" s="108" t="s">
        <v>73</v>
      </c>
      <c r="K24" s="101"/>
      <c r="L24" s="101"/>
      <c r="M24" s="120"/>
      <c r="N24" s="86"/>
      <c r="O24" s="86"/>
      <c r="P24" s="86"/>
      <c r="Q24" s="86"/>
      <c r="R24" s="86"/>
      <c r="S24" s="86"/>
      <c r="T24" s="86"/>
      <c r="U24" s="86"/>
      <c r="V24" s="86"/>
      <c r="W24" s="86"/>
      <c r="X24" s="86"/>
    </row>
    <row r="25">
      <c r="A25" s="93"/>
      <c r="B25" s="119" t="s">
        <v>95</v>
      </c>
      <c r="C25" s="104" t="s">
        <v>105</v>
      </c>
      <c r="D25" s="105" t="s">
        <v>106</v>
      </c>
      <c r="E25" s="105" t="s">
        <v>103</v>
      </c>
      <c r="F25" s="105" t="s">
        <v>104</v>
      </c>
      <c r="G25" s="106" t="s">
        <v>10</v>
      </c>
      <c r="H25" s="107" t="s">
        <v>71</v>
      </c>
      <c r="I25" s="108" t="s">
        <v>72</v>
      </c>
      <c r="J25" s="108" t="s">
        <v>73</v>
      </c>
      <c r="K25" s="101"/>
      <c r="L25" s="101"/>
      <c r="M25" s="101"/>
      <c r="N25" s="101"/>
      <c r="O25" s="101"/>
      <c r="P25" s="101"/>
      <c r="Q25" s="101"/>
      <c r="R25" s="101"/>
      <c r="S25" s="101"/>
      <c r="T25" s="101"/>
      <c r="U25" s="101"/>
      <c r="V25" s="101"/>
      <c r="W25" s="101"/>
      <c r="X25" s="101"/>
    </row>
    <row r="26">
      <c r="A26" s="93"/>
      <c r="B26" s="119" t="s">
        <v>95</v>
      </c>
      <c r="C26" s="104" t="s">
        <v>107</v>
      </c>
      <c r="D26" s="105" t="s">
        <v>108</v>
      </c>
      <c r="E26" s="105" t="s">
        <v>103</v>
      </c>
      <c r="F26" s="105" t="s">
        <v>104</v>
      </c>
      <c r="G26" s="106" t="s">
        <v>10</v>
      </c>
      <c r="H26" s="107" t="s">
        <v>71</v>
      </c>
      <c r="I26" s="108" t="s">
        <v>72</v>
      </c>
      <c r="J26" s="108" t="s">
        <v>73</v>
      </c>
      <c r="K26" s="101"/>
      <c r="L26" s="101"/>
      <c r="M26" s="120"/>
      <c r="N26" s="86"/>
      <c r="O26" s="86"/>
      <c r="P26" s="86"/>
      <c r="Q26" s="86"/>
      <c r="R26" s="86"/>
      <c r="S26" s="86"/>
      <c r="T26" s="86"/>
      <c r="U26" s="86"/>
      <c r="V26" s="86"/>
      <c r="W26" s="86"/>
      <c r="X26" s="86"/>
    </row>
    <row r="27">
      <c r="A27" s="121"/>
      <c r="B27" s="119" t="s">
        <v>95</v>
      </c>
      <c r="C27" s="104" t="s">
        <v>109</v>
      </c>
      <c r="D27" s="105" t="s">
        <v>110</v>
      </c>
      <c r="E27" s="105" t="s">
        <v>103</v>
      </c>
      <c r="F27" s="105" t="s">
        <v>104</v>
      </c>
      <c r="G27" s="106" t="s">
        <v>10</v>
      </c>
      <c r="H27" s="107" t="s">
        <v>71</v>
      </c>
      <c r="I27" s="108" t="s">
        <v>72</v>
      </c>
      <c r="J27" s="108" t="s">
        <v>73</v>
      </c>
      <c r="K27" s="101"/>
      <c r="L27" s="101"/>
      <c r="M27" s="120"/>
      <c r="N27" s="86"/>
      <c r="O27" s="86"/>
      <c r="P27" s="86"/>
      <c r="Q27" s="86"/>
      <c r="R27" s="86"/>
      <c r="S27" s="86"/>
      <c r="T27" s="86"/>
      <c r="U27" s="86"/>
      <c r="V27" s="86"/>
      <c r="W27" s="86"/>
      <c r="X27" s="86"/>
    </row>
    <row r="28">
      <c r="A28" s="122"/>
      <c r="B28" s="119" t="s">
        <v>95</v>
      </c>
      <c r="C28" s="104" t="s">
        <v>111</v>
      </c>
      <c r="D28" s="105" t="s">
        <v>112</v>
      </c>
      <c r="E28" s="105" t="s">
        <v>113</v>
      </c>
      <c r="F28" s="105" t="s">
        <v>114</v>
      </c>
      <c r="G28" s="106" t="s">
        <v>10</v>
      </c>
      <c r="H28" s="107" t="s">
        <v>71</v>
      </c>
      <c r="I28" s="108" t="s">
        <v>72</v>
      </c>
      <c r="J28" s="108" t="s">
        <v>73</v>
      </c>
      <c r="K28" s="101"/>
      <c r="L28" s="101"/>
      <c r="M28" s="120"/>
      <c r="N28" s="86"/>
      <c r="O28" s="86"/>
      <c r="P28" s="86"/>
      <c r="Q28" s="86"/>
      <c r="R28" s="86"/>
      <c r="S28" s="86"/>
      <c r="T28" s="86"/>
      <c r="U28" s="86"/>
      <c r="V28" s="86"/>
      <c r="W28" s="86"/>
      <c r="X28" s="86"/>
    </row>
    <row r="29">
      <c r="A29" s="112"/>
      <c r="B29" s="113"/>
      <c r="C29" s="114"/>
      <c r="D29" s="115"/>
      <c r="E29" s="115"/>
      <c r="F29" s="115"/>
      <c r="G29" s="116"/>
      <c r="H29" s="117"/>
      <c r="I29" s="118"/>
      <c r="J29" s="118"/>
      <c r="K29" s="109"/>
      <c r="L29" s="109"/>
      <c r="M29" s="86"/>
      <c r="N29" s="86"/>
      <c r="O29" s="86"/>
      <c r="P29" s="86"/>
      <c r="Q29" s="86"/>
      <c r="R29" s="86"/>
      <c r="S29" s="86"/>
      <c r="T29" s="86"/>
      <c r="U29" s="86"/>
      <c r="V29" s="86"/>
      <c r="W29" s="86"/>
      <c r="X29" s="86"/>
    </row>
    <row r="30">
      <c r="A30" s="93" t="s">
        <v>115</v>
      </c>
      <c r="B30" s="119" t="s">
        <v>116</v>
      </c>
      <c r="C30" s="123" t="s">
        <v>117</v>
      </c>
      <c r="D30" s="105" t="s">
        <v>118</v>
      </c>
      <c r="E30" s="105" t="s">
        <v>119</v>
      </c>
      <c r="F30" s="105" t="s">
        <v>120</v>
      </c>
      <c r="G30" s="106" t="s">
        <v>10</v>
      </c>
      <c r="H30" s="107" t="s">
        <v>121</v>
      </c>
      <c r="I30" s="108" t="s">
        <v>122</v>
      </c>
      <c r="J30" s="108" t="s">
        <v>123</v>
      </c>
      <c r="K30" s="101"/>
      <c r="L30" s="101"/>
      <c r="M30" s="120"/>
      <c r="N30" s="86"/>
      <c r="O30" s="86"/>
      <c r="P30" s="86"/>
      <c r="Q30" s="86"/>
      <c r="R30" s="86"/>
      <c r="S30" s="86"/>
      <c r="T30" s="86"/>
      <c r="U30" s="86"/>
      <c r="V30" s="86"/>
      <c r="W30" s="86"/>
      <c r="X30" s="86"/>
    </row>
    <row r="31">
      <c r="A31" s="93"/>
      <c r="B31" s="119" t="s">
        <v>116</v>
      </c>
      <c r="C31" s="123" t="s">
        <v>124</v>
      </c>
      <c r="D31" s="105" t="s">
        <v>125</v>
      </c>
      <c r="E31" s="105" t="s">
        <v>126</v>
      </c>
      <c r="F31" s="105" t="s">
        <v>127</v>
      </c>
      <c r="G31" s="106" t="s">
        <v>10</v>
      </c>
      <c r="H31" s="107" t="s">
        <v>121</v>
      </c>
      <c r="I31" s="108" t="s">
        <v>122</v>
      </c>
      <c r="J31" s="108" t="s">
        <v>123</v>
      </c>
      <c r="K31" s="101"/>
      <c r="L31" s="101"/>
      <c r="M31" s="120"/>
      <c r="N31" s="86"/>
      <c r="O31" s="86"/>
      <c r="P31" s="86"/>
      <c r="Q31" s="86"/>
      <c r="R31" s="86"/>
      <c r="S31" s="86"/>
      <c r="T31" s="86"/>
      <c r="U31" s="86"/>
      <c r="V31" s="86"/>
      <c r="W31" s="86"/>
      <c r="X31" s="86"/>
    </row>
    <row r="32">
      <c r="A32" s="93"/>
      <c r="B32" s="119" t="s">
        <v>116</v>
      </c>
      <c r="C32" s="123" t="s">
        <v>128</v>
      </c>
      <c r="D32" s="105" t="s">
        <v>129</v>
      </c>
      <c r="E32" s="105" t="s">
        <v>126</v>
      </c>
      <c r="F32" s="105" t="s">
        <v>127</v>
      </c>
      <c r="G32" s="106" t="s">
        <v>10</v>
      </c>
      <c r="H32" s="107" t="s">
        <v>121</v>
      </c>
      <c r="I32" s="108" t="s">
        <v>122</v>
      </c>
      <c r="J32" s="108" t="s">
        <v>123</v>
      </c>
      <c r="K32" s="101"/>
      <c r="L32" s="101"/>
      <c r="M32" s="120"/>
      <c r="N32" s="86"/>
      <c r="O32" s="86"/>
      <c r="P32" s="86"/>
      <c r="Q32" s="86"/>
      <c r="R32" s="86"/>
      <c r="S32" s="86"/>
      <c r="T32" s="86"/>
      <c r="U32" s="86"/>
      <c r="V32" s="86"/>
      <c r="W32" s="86"/>
      <c r="X32" s="86"/>
    </row>
    <row r="33">
      <c r="A33" s="93"/>
      <c r="B33" s="119" t="s">
        <v>116</v>
      </c>
      <c r="C33" s="123" t="s">
        <v>130</v>
      </c>
      <c r="D33" s="105" t="s">
        <v>131</v>
      </c>
      <c r="E33" s="105" t="s">
        <v>132</v>
      </c>
      <c r="F33" s="105" t="s">
        <v>133</v>
      </c>
      <c r="G33" s="106" t="s">
        <v>10</v>
      </c>
      <c r="H33" s="107" t="s">
        <v>121</v>
      </c>
      <c r="I33" s="108" t="s">
        <v>122</v>
      </c>
      <c r="J33" s="108" t="s">
        <v>123</v>
      </c>
      <c r="K33" s="101"/>
      <c r="L33" s="101"/>
      <c r="M33" s="120"/>
      <c r="N33" s="86"/>
      <c r="O33" s="86"/>
      <c r="P33" s="86"/>
      <c r="Q33" s="86"/>
      <c r="R33" s="86"/>
      <c r="S33" s="86"/>
      <c r="T33" s="86"/>
      <c r="U33" s="86"/>
      <c r="V33" s="86"/>
      <c r="W33" s="86"/>
      <c r="X33" s="86"/>
    </row>
    <row r="34">
      <c r="A34" s="124"/>
      <c r="B34" s="119" t="s">
        <v>116</v>
      </c>
      <c r="C34" s="123" t="s">
        <v>134</v>
      </c>
      <c r="D34" s="105" t="s">
        <v>135</v>
      </c>
      <c r="E34" s="105" t="s">
        <v>136</v>
      </c>
      <c r="F34" s="105" t="s">
        <v>137</v>
      </c>
      <c r="G34" s="106" t="s">
        <v>10</v>
      </c>
      <c r="H34" s="107" t="s">
        <v>121</v>
      </c>
      <c r="I34" s="108" t="s">
        <v>122</v>
      </c>
      <c r="J34" s="108" t="s">
        <v>123</v>
      </c>
      <c r="K34" s="101"/>
      <c r="L34" s="101"/>
      <c r="M34" s="120"/>
      <c r="N34" s="86"/>
      <c r="O34" s="86"/>
      <c r="P34" s="86"/>
      <c r="Q34" s="86"/>
      <c r="R34" s="86"/>
      <c r="S34" s="86"/>
      <c r="T34" s="86"/>
      <c r="U34" s="86"/>
      <c r="V34" s="86"/>
      <c r="W34" s="86"/>
      <c r="X34" s="86"/>
    </row>
    <row r="35">
      <c r="A35" s="122"/>
      <c r="B35" s="119" t="s">
        <v>116</v>
      </c>
      <c r="C35" s="123" t="s">
        <v>138</v>
      </c>
      <c r="D35" s="105" t="s">
        <v>139</v>
      </c>
      <c r="E35" s="105" t="s">
        <v>140</v>
      </c>
      <c r="F35" s="105" t="s">
        <v>141</v>
      </c>
      <c r="G35" s="106" t="s">
        <v>10</v>
      </c>
      <c r="H35" s="107" t="s">
        <v>121</v>
      </c>
      <c r="I35" s="108" t="s">
        <v>122</v>
      </c>
      <c r="J35" s="108" t="s">
        <v>123</v>
      </c>
      <c r="K35" s="101"/>
      <c r="L35" s="101"/>
      <c r="M35" s="120"/>
      <c r="N35" s="86"/>
      <c r="O35" s="86"/>
      <c r="P35" s="86"/>
      <c r="Q35" s="86"/>
      <c r="R35" s="86"/>
      <c r="S35" s="86"/>
      <c r="T35" s="86"/>
      <c r="U35" s="86"/>
      <c r="V35" s="86"/>
      <c r="W35" s="86"/>
      <c r="X35" s="86"/>
    </row>
    <row r="36">
      <c r="A36" s="125"/>
      <c r="B36" s="119" t="s">
        <v>116</v>
      </c>
      <c r="C36" s="123" t="s">
        <v>142</v>
      </c>
      <c r="D36" s="105" t="s">
        <v>143</v>
      </c>
      <c r="E36" s="105" t="s">
        <v>144</v>
      </c>
      <c r="F36" s="105" t="s">
        <v>145</v>
      </c>
      <c r="G36" s="106" t="s">
        <v>10</v>
      </c>
      <c r="H36" s="107" t="s">
        <v>121</v>
      </c>
      <c r="I36" s="108" t="s">
        <v>122</v>
      </c>
      <c r="J36" s="108" t="s">
        <v>123</v>
      </c>
      <c r="K36" s="101"/>
      <c r="L36" s="101"/>
      <c r="M36" s="101"/>
      <c r="N36" s="101"/>
      <c r="O36" s="101"/>
      <c r="P36" s="101"/>
      <c r="Q36" s="101"/>
      <c r="R36" s="101"/>
      <c r="S36" s="101"/>
      <c r="T36" s="101"/>
      <c r="U36" s="101"/>
      <c r="V36" s="101"/>
      <c r="W36" s="101"/>
      <c r="X36" s="101"/>
    </row>
    <row r="37">
      <c r="A37" s="122"/>
      <c r="B37" s="119" t="s">
        <v>116</v>
      </c>
      <c r="C37" s="123" t="s">
        <v>146</v>
      </c>
      <c r="D37" s="105" t="s">
        <v>147</v>
      </c>
      <c r="E37" s="105" t="s">
        <v>148</v>
      </c>
      <c r="F37" s="105" t="s">
        <v>149</v>
      </c>
      <c r="G37" s="106" t="s">
        <v>10</v>
      </c>
      <c r="H37" s="107" t="s">
        <v>121</v>
      </c>
      <c r="I37" s="108" t="s">
        <v>122</v>
      </c>
      <c r="J37" s="108" t="s">
        <v>123</v>
      </c>
      <c r="K37" s="101"/>
      <c r="L37" s="101"/>
      <c r="M37" s="120"/>
      <c r="N37" s="86"/>
      <c r="O37" s="86"/>
      <c r="P37" s="86"/>
      <c r="Q37" s="86"/>
      <c r="R37" s="86"/>
      <c r="S37" s="86"/>
      <c r="T37" s="86"/>
      <c r="U37" s="86"/>
      <c r="V37" s="86"/>
      <c r="W37" s="86"/>
      <c r="X37" s="86"/>
    </row>
    <row r="38">
      <c r="A38" s="126"/>
      <c r="B38" s="126"/>
      <c r="C38" s="126"/>
      <c r="D38" s="127"/>
      <c r="E38" s="127"/>
      <c r="F38" s="127"/>
      <c r="G38" s="126"/>
      <c r="H38" s="126"/>
      <c r="I38" s="126"/>
      <c r="J38" s="126"/>
      <c r="K38" s="101"/>
      <c r="L38" s="101"/>
      <c r="M38" s="120"/>
      <c r="N38" s="86"/>
      <c r="O38" s="86"/>
      <c r="P38" s="86"/>
      <c r="Q38" s="86"/>
      <c r="R38" s="86"/>
      <c r="S38" s="86"/>
      <c r="T38" s="86"/>
      <c r="U38" s="86"/>
      <c r="V38" s="86"/>
      <c r="W38" s="86"/>
      <c r="X38" s="86"/>
    </row>
    <row r="39">
      <c r="A39" s="93" t="s">
        <v>53</v>
      </c>
      <c r="B39" s="119" t="s">
        <v>95</v>
      </c>
      <c r="C39" s="123" t="s">
        <v>150</v>
      </c>
      <c r="D39" s="105" t="s">
        <v>151</v>
      </c>
      <c r="E39" s="105" t="s">
        <v>152</v>
      </c>
      <c r="F39" s="105" t="s">
        <v>153</v>
      </c>
      <c r="G39" s="106" t="s">
        <v>10</v>
      </c>
      <c r="H39" s="107" t="s">
        <v>154</v>
      </c>
      <c r="I39" s="108" t="s">
        <v>122</v>
      </c>
      <c r="J39" s="108" t="s">
        <v>123</v>
      </c>
      <c r="K39" s="101"/>
      <c r="L39" s="101"/>
      <c r="M39" s="120"/>
      <c r="N39" s="86"/>
      <c r="O39" s="86"/>
      <c r="P39" s="86"/>
      <c r="Q39" s="86"/>
      <c r="R39" s="86"/>
      <c r="S39" s="86"/>
      <c r="T39" s="86"/>
      <c r="U39" s="86"/>
      <c r="V39" s="86"/>
      <c r="W39" s="86"/>
      <c r="X39" s="86"/>
    </row>
    <row r="40">
      <c r="A40" s="93"/>
      <c r="B40" s="119" t="s">
        <v>95</v>
      </c>
      <c r="C40" s="123" t="s">
        <v>155</v>
      </c>
      <c r="D40" s="105" t="s">
        <v>156</v>
      </c>
      <c r="E40" s="105" t="s">
        <v>156</v>
      </c>
      <c r="F40" s="105" t="s">
        <v>157</v>
      </c>
      <c r="G40" s="128" t="s">
        <v>10</v>
      </c>
      <c r="H40" s="129" t="s">
        <v>154</v>
      </c>
      <c r="I40" s="130" t="s">
        <v>122</v>
      </c>
      <c r="J40" s="130" t="s">
        <v>123</v>
      </c>
      <c r="K40" s="121"/>
      <c r="L40" s="121"/>
      <c r="M40" s="131"/>
      <c r="N40" s="132"/>
      <c r="O40" s="132"/>
      <c r="P40" s="132"/>
      <c r="Q40" s="132"/>
      <c r="R40" s="132"/>
      <c r="S40" s="132"/>
      <c r="T40" s="132"/>
      <c r="U40" s="86"/>
      <c r="V40" s="86"/>
      <c r="W40" s="86"/>
      <c r="X40" s="86"/>
    </row>
    <row r="41">
      <c r="A41" s="93"/>
      <c r="B41" s="119" t="s">
        <v>95</v>
      </c>
      <c r="C41" s="123" t="s">
        <v>158</v>
      </c>
      <c r="D41" s="105" t="s">
        <v>159</v>
      </c>
      <c r="E41" s="105" t="s">
        <v>160</v>
      </c>
      <c r="F41" s="105" t="s">
        <v>161</v>
      </c>
      <c r="G41" s="128" t="s">
        <v>10</v>
      </c>
      <c r="H41" s="133" t="s">
        <v>154</v>
      </c>
      <c r="I41" s="134" t="s">
        <v>122</v>
      </c>
      <c r="J41" s="134" t="s">
        <v>123</v>
      </c>
      <c r="K41" s="121"/>
      <c r="L41" s="121"/>
      <c r="M41" s="131"/>
      <c r="N41" s="132"/>
      <c r="O41" s="132"/>
      <c r="P41" s="132"/>
      <c r="Q41" s="132"/>
      <c r="R41" s="132"/>
      <c r="S41" s="132"/>
      <c r="T41" s="132"/>
      <c r="U41" s="86"/>
      <c r="V41" s="86"/>
      <c r="W41" s="86"/>
      <c r="X41" s="86"/>
    </row>
    <row r="42">
      <c r="A42" s="93"/>
      <c r="B42" s="119" t="s">
        <v>95</v>
      </c>
      <c r="C42" s="123" t="s">
        <v>162</v>
      </c>
      <c r="D42" s="105" t="s">
        <v>163</v>
      </c>
      <c r="E42" s="105" t="s">
        <v>164</v>
      </c>
      <c r="F42" s="105" t="s">
        <v>165</v>
      </c>
      <c r="G42" s="128" t="s">
        <v>10</v>
      </c>
      <c r="H42" s="129" t="s">
        <v>154</v>
      </c>
      <c r="I42" s="130" t="s">
        <v>122</v>
      </c>
      <c r="J42" s="130" t="s">
        <v>123</v>
      </c>
      <c r="K42" s="121"/>
      <c r="L42" s="121"/>
      <c r="M42" s="131"/>
      <c r="N42" s="132"/>
      <c r="O42" s="132"/>
      <c r="P42" s="132"/>
      <c r="Q42" s="132"/>
      <c r="R42" s="132"/>
      <c r="S42" s="132"/>
      <c r="T42" s="132"/>
      <c r="U42" s="86"/>
      <c r="V42" s="86"/>
      <c r="W42" s="86"/>
      <c r="X42" s="86"/>
    </row>
    <row r="43">
      <c r="A43" s="135"/>
      <c r="B43" s="119" t="s">
        <v>95</v>
      </c>
      <c r="C43" s="123" t="s">
        <v>166</v>
      </c>
      <c r="D43" s="105" t="s">
        <v>167</v>
      </c>
      <c r="E43" s="105" t="s">
        <v>168</v>
      </c>
      <c r="F43" s="105" t="s">
        <v>169</v>
      </c>
      <c r="G43" s="128" t="s">
        <v>10</v>
      </c>
      <c r="H43" s="133" t="s">
        <v>154</v>
      </c>
      <c r="I43" s="134" t="s">
        <v>122</v>
      </c>
      <c r="J43" s="134" t="s">
        <v>123</v>
      </c>
      <c r="K43" s="121"/>
      <c r="L43" s="121"/>
      <c r="M43" s="131"/>
      <c r="N43" s="132"/>
      <c r="O43" s="132"/>
      <c r="P43" s="132"/>
      <c r="Q43" s="132"/>
      <c r="R43" s="132"/>
      <c r="S43" s="132"/>
      <c r="T43" s="132"/>
      <c r="U43" s="86"/>
      <c r="V43" s="86"/>
      <c r="W43" s="86"/>
      <c r="X43" s="86"/>
    </row>
    <row r="44">
      <c r="A44" s="135"/>
      <c r="B44" s="119" t="s">
        <v>95</v>
      </c>
      <c r="C44" s="123" t="s">
        <v>170</v>
      </c>
      <c r="D44" s="105" t="s">
        <v>171</v>
      </c>
      <c r="E44" s="105" t="s">
        <v>172</v>
      </c>
      <c r="F44" s="105" t="s">
        <v>173</v>
      </c>
      <c r="G44" s="128" t="s">
        <v>10</v>
      </c>
      <c r="H44" s="129" t="s">
        <v>154</v>
      </c>
      <c r="I44" s="130" t="s">
        <v>122</v>
      </c>
      <c r="J44" s="130" t="s">
        <v>123</v>
      </c>
      <c r="K44" s="121"/>
      <c r="L44" s="121"/>
      <c r="M44" s="121"/>
      <c r="N44" s="121"/>
      <c r="O44" s="121"/>
      <c r="P44" s="121"/>
      <c r="Q44" s="121"/>
      <c r="R44" s="121"/>
      <c r="S44" s="121"/>
      <c r="T44" s="121"/>
      <c r="U44" s="101"/>
      <c r="V44" s="101"/>
      <c r="W44" s="101"/>
      <c r="X44" s="101"/>
    </row>
    <row r="45">
      <c r="A45" s="122"/>
      <c r="B45" s="119" t="s">
        <v>95</v>
      </c>
      <c r="C45" s="123" t="s">
        <v>174</v>
      </c>
      <c r="D45" s="105" t="s">
        <v>175</v>
      </c>
      <c r="E45" s="105" t="s">
        <v>176</v>
      </c>
      <c r="F45" s="105" t="s">
        <v>177</v>
      </c>
      <c r="G45" s="128" t="s">
        <v>10</v>
      </c>
      <c r="H45" s="133" t="s">
        <v>154</v>
      </c>
      <c r="I45" s="134" t="s">
        <v>122</v>
      </c>
      <c r="J45" s="134" t="s">
        <v>123</v>
      </c>
      <c r="K45" s="121"/>
      <c r="L45" s="121"/>
      <c r="M45" s="131"/>
      <c r="N45" s="132"/>
      <c r="O45" s="132"/>
      <c r="P45" s="132"/>
      <c r="Q45" s="132"/>
      <c r="R45" s="132"/>
      <c r="S45" s="132"/>
      <c r="T45" s="132"/>
      <c r="U45" s="86"/>
      <c r="V45" s="86"/>
      <c r="W45" s="86"/>
      <c r="X45" s="86"/>
    </row>
    <row r="46">
      <c r="A46" s="136"/>
      <c r="B46" s="119" t="s">
        <v>95</v>
      </c>
      <c r="C46" s="123" t="s">
        <v>178</v>
      </c>
      <c r="D46" s="105" t="s">
        <v>179</v>
      </c>
      <c r="E46" s="105" t="s">
        <v>180</v>
      </c>
      <c r="F46" s="105" t="s">
        <v>181</v>
      </c>
      <c r="G46" s="128" t="s">
        <v>10</v>
      </c>
      <c r="H46" s="129" t="s">
        <v>154</v>
      </c>
      <c r="I46" s="130" t="s">
        <v>122</v>
      </c>
      <c r="J46" s="130" t="s">
        <v>123</v>
      </c>
      <c r="K46" s="121"/>
      <c r="L46" s="121"/>
      <c r="M46" s="131"/>
      <c r="N46" s="132"/>
      <c r="O46" s="132"/>
      <c r="P46" s="132"/>
      <c r="Q46" s="132"/>
      <c r="R46" s="132"/>
      <c r="S46" s="132"/>
      <c r="T46" s="132"/>
      <c r="U46" s="86"/>
      <c r="V46" s="86"/>
      <c r="W46" s="86"/>
      <c r="X46" s="86"/>
    </row>
    <row r="47">
      <c r="A47" s="122"/>
      <c r="B47" s="119" t="s">
        <v>95</v>
      </c>
      <c r="C47" s="123" t="s">
        <v>182</v>
      </c>
      <c r="D47" s="137" t="s">
        <v>183</v>
      </c>
      <c r="E47" s="137" t="s">
        <v>183</v>
      </c>
      <c r="F47" s="137" t="s">
        <v>184</v>
      </c>
      <c r="G47" s="128" t="s">
        <v>10</v>
      </c>
      <c r="H47" s="133" t="s">
        <v>154</v>
      </c>
      <c r="I47" s="134" t="s">
        <v>122</v>
      </c>
      <c r="J47" s="134" t="s">
        <v>123</v>
      </c>
      <c r="K47" s="121"/>
      <c r="L47" s="121"/>
      <c r="M47" s="131"/>
      <c r="N47" s="132"/>
      <c r="O47" s="132"/>
      <c r="P47" s="132"/>
      <c r="Q47" s="132"/>
      <c r="R47" s="132"/>
      <c r="S47" s="132"/>
      <c r="T47" s="132"/>
      <c r="U47" s="86"/>
      <c r="V47" s="86"/>
      <c r="W47" s="86"/>
      <c r="X47" s="86"/>
    </row>
    <row r="48">
      <c r="A48" s="138"/>
      <c r="B48" s="119" t="s">
        <v>95</v>
      </c>
      <c r="C48" s="123" t="s">
        <v>185</v>
      </c>
      <c r="D48" s="105" t="s">
        <v>186</v>
      </c>
      <c r="E48" s="105" t="s">
        <v>187</v>
      </c>
      <c r="F48" s="105" t="s">
        <v>188</v>
      </c>
      <c r="G48" s="128" t="s">
        <v>10</v>
      </c>
      <c r="H48" s="129" t="s">
        <v>154</v>
      </c>
      <c r="I48" s="130" t="s">
        <v>122</v>
      </c>
      <c r="J48" s="130" t="s">
        <v>123</v>
      </c>
      <c r="K48" s="121"/>
      <c r="L48" s="121"/>
      <c r="M48" s="131"/>
      <c r="N48" s="132"/>
      <c r="O48" s="132"/>
      <c r="P48" s="132"/>
      <c r="Q48" s="132"/>
      <c r="R48" s="132"/>
      <c r="S48" s="132"/>
      <c r="T48" s="132"/>
      <c r="U48" s="86"/>
      <c r="V48" s="86"/>
      <c r="W48" s="86"/>
      <c r="X48" s="86"/>
    </row>
    <row r="49">
      <c r="A49" s="139"/>
      <c r="B49" s="119" t="s">
        <v>95</v>
      </c>
      <c r="C49" s="123" t="s">
        <v>189</v>
      </c>
      <c r="D49" s="105" t="s">
        <v>190</v>
      </c>
      <c r="E49" s="105" t="s">
        <v>191</v>
      </c>
      <c r="F49" s="105" t="s">
        <v>153</v>
      </c>
      <c r="G49" s="128" t="s">
        <v>10</v>
      </c>
      <c r="H49" s="133" t="s">
        <v>154</v>
      </c>
      <c r="I49" s="134" t="s">
        <v>122</v>
      </c>
      <c r="J49" s="134" t="s">
        <v>123</v>
      </c>
      <c r="K49" s="140"/>
      <c r="L49" s="140"/>
      <c r="M49" s="141"/>
      <c r="N49" s="141"/>
      <c r="O49" s="141"/>
      <c r="P49" s="141"/>
      <c r="Q49" s="141"/>
      <c r="R49" s="141"/>
      <c r="S49" s="141"/>
      <c r="T49" s="141"/>
      <c r="U49" s="86"/>
      <c r="V49" s="86"/>
      <c r="W49" s="86"/>
      <c r="X49" s="86"/>
    </row>
    <row r="50">
      <c r="A50" s="142"/>
      <c r="B50" s="119" t="s">
        <v>95</v>
      </c>
      <c r="C50" s="123" t="s">
        <v>192</v>
      </c>
      <c r="D50" s="105" t="s">
        <v>193</v>
      </c>
      <c r="E50" s="105" t="s">
        <v>194</v>
      </c>
      <c r="F50" s="105" t="s">
        <v>195</v>
      </c>
      <c r="G50" s="128" t="s">
        <v>10</v>
      </c>
      <c r="H50" s="129" t="s">
        <v>154</v>
      </c>
      <c r="I50" s="130" t="s">
        <v>122</v>
      </c>
      <c r="J50" s="130" t="s">
        <v>123</v>
      </c>
      <c r="K50" s="121"/>
      <c r="L50" s="121"/>
      <c r="M50" s="131"/>
      <c r="N50" s="132"/>
      <c r="O50" s="132"/>
      <c r="P50" s="132"/>
      <c r="Q50" s="132"/>
      <c r="R50" s="132"/>
      <c r="S50" s="132"/>
      <c r="T50" s="132"/>
      <c r="U50" s="86"/>
      <c r="V50" s="86"/>
      <c r="W50" s="86"/>
      <c r="X50" s="86"/>
    </row>
    <row r="51">
      <c r="A51" s="142"/>
      <c r="B51" s="119" t="s">
        <v>95</v>
      </c>
      <c r="C51" s="123" t="s">
        <v>196</v>
      </c>
      <c r="D51" s="105" t="s">
        <v>197</v>
      </c>
      <c r="E51" s="105" t="s">
        <v>198</v>
      </c>
      <c r="F51" s="105" t="s">
        <v>199</v>
      </c>
      <c r="G51" s="128" t="s">
        <v>10</v>
      </c>
      <c r="H51" s="133" t="s">
        <v>154</v>
      </c>
      <c r="I51" s="134" t="s">
        <v>122</v>
      </c>
      <c r="J51" s="134" t="s">
        <v>123</v>
      </c>
      <c r="K51" s="121"/>
      <c r="L51" s="121"/>
      <c r="M51" s="131"/>
      <c r="N51" s="132"/>
      <c r="O51" s="132"/>
      <c r="P51" s="132"/>
      <c r="Q51" s="132"/>
      <c r="R51" s="132"/>
      <c r="S51" s="132"/>
      <c r="T51" s="132"/>
      <c r="U51" s="86"/>
      <c r="V51" s="86"/>
      <c r="W51" s="86"/>
      <c r="X51" s="86"/>
    </row>
    <row r="52">
      <c r="A52" s="143"/>
      <c r="B52" s="119" t="s">
        <v>95</v>
      </c>
      <c r="C52" s="123" t="s">
        <v>200</v>
      </c>
      <c r="D52" s="105" t="s">
        <v>201</v>
      </c>
      <c r="E52" s="105" t="s">
        <v>202</v>
      </c>
      <c r="F52" s="105" t="s">
        <v>203</v>
      </c>
      <c r="G52" s="128" t="s">
        <v>10</v>
      </c>
      <c r="H52" s="129" t="s">
        <v>154</v>
      </c>
      <c r="I52" s="130" t="s">
        <v>122</v>
      </c>
      <c r="J52" s="130" t="s">
        <v>123</v>
      </c>
      <c r="K52" s="141"/>
      <c r="L52" s="141"/>
      <c r="M52" s="141"/>
      <c r="N52" s="141"/>
      <c r="O52" s="141"/>
      <c r="P52" s="141"/>
      <c r="Q52" s="141"/>
      <c r="R52" s="141"/>
      <c r="S52" s="141"/>
      <c r="T52" s="141"/>
      <c r="U52" s="101"/>
      <c r="V52" s="101"/>
      <c r="W52" s="101"/>
      <c r="X52" s="101"/>
    </row>
    <row r="53">
      <c r="A53" s="126"/>
      <c r="B53" s="126"/>
      <c r="C53" s="126"/>
      <c r="D53" s="127"/>
      <c r="E53" s="127"/>
      <c r="F53" s="127"/>
      <c r="G53" s="126"/>
      <c r="H53" s="126"/>
      <c r="I53" s="126"/>
      <c r="J53" s="126"/>
      <c r="K53" s="121"/>
      <c r="L53" s="121"/>
      <c r="M53" s="131"/>
      <c r="N53" s="132"/>
      <c r="O53" s="132"/>
      <c r="P53" s="132"/>
      <c r="Q53" s="132"/>
      <c r="R53" s="132"/>
      <c r="S53" s="132"/>
      <c r="T53" s="132"/>
      <c r="U53" s="86"/>
      <c r="V53" s="86"/>
      <c r="W53" s="86"/>
      <c r="X53" s="86"/>
    </row>
    <row r="54">
      <c r="A54" s="93" t="s">
        <v>204</v>
      </c>
      <c r="B54" s="144" t="s">
        <v>116</v>
      </c>
      <c r="C54" s="123" t="s">
        <v>205</v>
      </c>
      <c r="D54" s="105" t="s">
        <v>206</v>
      </c>
      <c r="E54" s="105" t="s">
        <v>207</v>
      </c>
      <c r="F54" s="105" t="s">
        <v>208</v>
      </c>
      <c r="G54" s="128" t="s">
        <v>10</v>
      </c>
      <c r="H54" s="145" t="s">
        <v>154</v>
      </c>
      <c r="I54" s="146" t="s">
        <v>122</v>
      </c>
      <c r="J54" s="147" t="s">
        <v>209</v>
      </c>
      <c r="K54" s="121"/>
      <c r="L54" s="121"/>
      <c r="M54" s="131"/>
      <c r="N54" s="132"/>
      <c r="O54" s="132"/>
      <c r="P54" s="132"/>
      <c r="Q54" s="132"/>
      <c r="R54" s="132"/>
      <c r="S54" s="132"/>
      <c r="T54" s="132"/>
      <c r="U54" s="86"/>
      <c r="V54" s="86"/>
      <c r="W54" s="86"/>
      <c r="X54" s="86"/>
    </row>
    <row r="55">
      <c r="A55" s="148"/>
      <c r="B55" s="144" t="s">
        <v>116</v>
      </c>
      <c r="C55" s="123" t="s">
        <v>210</v>
      </c>
      <c r="D55" s="105" t="s">
        <v>211</v>
      </c>
      <c r="E55" s="105" t="s">
        <v>211</v>
      </c>
      <c r="F55" s="105" t="s">
        <v>212</v>
      </c>
      <c r="G55" s="128" t="s">
        <v>10</v>
      </c>
      <c r="H55" s="149" t="s">
        <v>154</v>
      </c>
      <c r="I55" s="150" t="s">
        <v>122</v>
      </c>
      <c r="J55" s="147" t="s">
        <v>209</v>
      </c>
      <c r="K55" s="121"/>
      <c r="L55" s="121"/>
      <c r="M55" s="131"/>
      <c r="N55" s="132"/>
      <c r="O55" s="132"/>
      <c r="P55" s="132"/>
      <c r="Q55" s="132"/>
      <c r="R55" s="132"/>
      <c r="S55" s="132"/>
      <c r="T55" s="132"/>
      <c r="U55" s="86"/>
      <c r="V55" s="86"/>
      <c r="W55" s="86"/>
      <c r="X55" s="86"/>
    </row>
    <row r="56">
      <c r="A56" s="93"/>
      <c r="B56" s="144" t="s">
        <v>116</v>
      </c>
      <c r="C56" s="123" t="s">
        <v>213</v>
      </c>
      <c r="D56" s="105" t="s">
        <v>214</v>
      </c>
      <c r="E56" s="105" t="s">
        <v>215</v>
      </c>
      <c r="F56" s="105" t="s">
        <v>216</v>
      </c>
      <c r="G56" s="128" t="s">
        <v>10</v>
      </c>
      <c r="H56" s="145" t="s">
        <v>154</v>
      </c>
      <c r="I56" s="146" t="s">
        <v>122</v>
      </c>
      <c r="J56" s="147" t="s">
        <v>209</v>
      </c>
      <c r="K56" s="141"/>
      <c r="L56" s="141"/>
      <c r="M56" s="141"/>
      <c r="N56" s="141"/>
      <c r="O56" s="141"/>
      <c r="P56" s="141"/>
      <c r="Q56" s="141"/>
      <c r="R56" s="141"/>
      <c r="S56" s="141"/>
      <c r="T56" s="141"/>
      <c r="U56" s="101"/>
      <c r="V56" s="101"/>
      <c r="W56" s="101"/>
      <c r="X56" s="101"/>
    </row>
    <row r="57">
      <c r="A57" s="93"/>
      <c r="B57" s="144" t="s">
        <v>116</v>
      </c>
      <c r="C57" s="123" t="s">
        <v>217</v>
      </c>
      <c r="D57" s="105" t="s">
        <v>218</v>
      </c>
      <c r="E57" s="105" t="s">
        <v>219</v>
      </c>
      <c r="F57" s="105" t="s">
        <v>220</v>
      </c>
      <c r="G57" s="128" t="s">
        <v>10</v>
      </c>
      <c r="H57" s="149" t="s">
        <v>154</v>
      </c>
      <c r="I57" s="150" t="s">
        <v>122</v>
      </c>
      <c r="J57" s="147" t="s">
        <v>209</v>
      </c>
      <c r="K57" s="141"/>
      <c r="L57" s="141"/>
      <c r="M57" s="141"/>
      <c r="N57" s="141"/>
      <c r="O57" s="141"/>
      <c r="P57" s="141"/>
      <c r="Q57" s="141"/>
      <c r="R57" s="141"/>
      <c r="S57" s="141"/>
      <c r="T57" s="141"/>
      <c r="U57" s="101"/>
      <c r="V57" s="101"/>
      <c r="W57" s="101"/>
      <c r="X57" s="101"/>
    </row>
    <row r="58">
      <c r="A58" s="122"/>
      <c r="B58" s="144" t="s">
        <v>116</v>
      </c>
      <c r="C58" s="123" t="s">
        <v>221</v>
      </c>
      <c r="D58" s="105" t="s">
        <v>222</v>
      </c>
      <c r="E58" s="105" t="s">
        <v>223</v>
      </c>
      <c r="F58" s="105" t="s">
        <v>224</v>
      </c>
      <c r="G58" s="128" t="s">
        <v>10</v>
      </c>
      <c r="H58" s="145" t="s">
        <v>154</v>
      </c>
      <c r="I58" s="146" t="s">
        <v>122</v>
      </c>
      <c r="J58" s="147" t="s">
        <v>209</v>
      </c>
      <c r="K58" s="121"/>
      <c r="L58" s="121"/>
      <c r="M58" s="131"/>
      <c r="N58" s="132"/>
      <c r="O58" s="132"/>
      <c r="P58" s="132"/>
      <c r="Q58" s="132"/>
      <c r="R58" s="132"/>
      <c r="S58" s="132"/>
      <c r="T58" s="132"/>
      <c r="U58" s="86"/>
      <c r="V58" s="86"/>
      <c r="W58" s="86"/>
      <c r="X58" s="86"/>
    </row>
    <row r="59">
      <c r="A59" s="151"/>
      <c r="B59" s="144" t="s">
        <v>116</v>
      </c>
      <c r="C59" s="123" t="s">
        <v>225</v>
      </c>
      <c r="D59" s="105" t="s">
        <v>226</v>
      </c>
      <c r="E59" s="105" t="s">
        <v>227</v>
      </c>
      <c r="F59" s="105" t="s">
        <v>228</v>
      </c>
      <c r="G59" s="128" t="s">
        <v>10</v>
      </c>
      <c r="H59" s="149" t="s">
        <v>154</v>
      </c>
      <c r="I59" s="150" t="s">
        <v>122</v>
      </c>
      <c r="J59" s="147" t="s">
        <v>209</v>
      </c>
      <c r="K59" s="121"/>
      <c r="L59" s="121"/>
      <c r="M59" s="121"/>
      <c r="N59" s="121"/>
      <c r="O59" s="121"/>
      <c r="P59" s="121"/>
      <c r="Q59" s="121"/>
      <c r="R59" s="121"/>
      <c r="S59" s="121"/>
      <c r="T59" s="121"/>
      <c r="U59" s="101"/>
      <c r="V59" s="101"/>
      <c r="W59" s="101"/>
      <c r="X59" s="101"/>
    </row>
    <row r="60">
      <c r="A60" s="152"/>
      <c r="B60" s="144" t="s">
        <v>116</v>
      </c>
      <c r="C60" s="123" t="s">
        <v>229</v>
      </c>
      <c r="D60" s="105" t="s">
        <v>230</v>
      </c>
      <c r="E60" s="105" t="s">
        <v>230</v>
      </c>
      <c r="F60" s="105" t="s">
        <v>231</v>
      </c>
      <c r="G60" s="128" t="s">
        <v>10</v>
      </c>
      <c r="H60" s="145" t="s">
        <v>154</v>
      </c>
      <c r="I60" s="146" t="s">
        <v>122</v>
      </c>
      <c r="J60" s="147" t="s">
        <v>209</v>
      </c>
      <c r="K60" s="141"/>
      <c r="L60" s="141"/>
      <c r="M60" s="141"/>
      <c r="N60" s="141"/>
      <c r="O60" s="141"/>
      <c r="P60" s="141"/>
      <c r="Q60" s="141"/>
      <c r="R60" s="141"/>
      <c r="S60" s="141"/>
      <c r="T60" s="141"/>
      <c r="U60" s="101"/>
      <c r="V60" s="101"/>
      <c r="W60" s="101"/>
      <c r="X60" s="101"/>
    </row>
    <row r="61">
      <c r="A61" s="153"/>
      <c r="B61" s="144" t="s">
        <v>116</v>
      </c>
      <c r="C61" s="123" t="s">
        <v>232</v>
      </c>
      <c r="D61" s="105" t="s">
        <v>233</v>
      </c>
      <c r="E61" s="105" t="s">
        <v>234</v>
      </c>
      <c r="F61" s="105" t="s">
        <v>235</v>
      </c>
      <c r="G61" s="128" t="s">
        <v>10</v>
      </c>
      <c r="H61" s="149" t="s">
        <v>154</v>
      </c>
      <c r="I61" s="150" t="s">
        <v>122</v>
      </c>
      <c r="J61" s="147" t="s">
        <v>209</v>
      </c>
      <c r="K61" s="141"/>
      <c r="L61" s="141"/>
      <c r="M61" s="141"/>
      <c r="N61" s="141"/>
      <c r="O61" s="141"/>
      <c r="P61" s="141"/>
      <c r="Q61" s="141"/>
      <c r="R61" s="141"/>
      <c r="S61" s="141"/>
      <c r="T61" s="141"/>
      <c r="U61" s="101"/>
      <c r="V61" s="101"/>
      <c r="W61" s="101"/>
      <c r="X61" s="101"/>
    </row>
    <row r="62">
      <c r="A62" s="154"/>
      <c r="B62" s="144" t="s">
        <v>116</v>
      </c>
      <c r="C62" s="123" t="s">
        <v>236</v>
      </c>
      <c r="D62" s="105" t="s">
        <v>237</v>
      </c>
      <c r="E62" s="105" t="s">
        <v>238</v>
      </c>
      <c r="F62" s="105" t="s">
        <v>239</v>
      </c>
      <c r="G62" s="128" t="s">
        <v>10</v>
      </c>
      <c r="H62" s="145" t="s">
        <v>154</v>
      </c>
      <c r="I62" s="146" t="s">
        <v>122</v>
      </c>
      <c r="J62" s="147" t="s">
        <v>209</v>
      </c>
      <c r="K62" s="141"/>
      <c r="L62" s="141"/>
      <c r="M62" s="141"/>
      <c r="N62" s="141"/>
      <c r="O62" s="141"/>
      <c r="P62" s="141"/>
      <c r="Q62" s="141"/>
      <c r="R62" s="141"/>
      <c r="S62" s="141"/>
      <c r="T62" s="141"/>
      <c r="U62" s="101"/>
      <c r="V62" s="101"/>
      <c r="W62" s="101"/>
      <c r="X62" s="101"/>
    </row>
    <row r="63">
      <c r="A63" s="122"/>
      <c r="B63" s="144" t="s">
        <v>116</v>
      </c>
      <c r="C63" s="123" t="s">
        <v>240</v>
      </c>
      <c r="D63" s="105" t="s">
        <v>241</v>
      </c>
      <c r="E63" s="105" t="s">
        <v>241</v>
      </c>
      <c r="F63" s="105" t="s">
        <v>242</v>
      </c>
      <c r="G63" s="128" t="s">
        <v>10</v>
      </c>
      <c r="H63" s="149" t="s">
        <v>154</v>
      </c>
      <c r="I63" s="150" t="s">
        <v>122</v>
      </c>
      <c r="J63" s="147" t="s">
        <v>209</v>
      </c>
      <c r="K63" s="121"/>
      <c r="L63" s="121"/>
      <c r="M63" s="131"/>
      <c r="N63" s="132"/>
      <c r="O63" s="132"/>
      <c r="P63" s="132"/>
      <c r="Q63" s="132"/>
      <c r="R63" s="132"/>
      <c r="S63" s="132"/>
      <c r="T63" s="132"/>
      <c r="U63" s="86"/>
      <c r="V63" s="86"/>
      <c r="W63" s="86"/>
      <c r="X63" s="86"/>
    </row>
    <row r="64">
      <c r="A64" s="126"/>
      <c r="B64" s="126"/>
      <c r="C64" s="126"/>
      <c r="D64" s="127"/>
      <c r="E64" s="127"/>
      <c r="F64" s="127"/>
      <c r="G64" s="126"/>
      <c r="H64" s="126"/>
      <c r="I64" s="126"/>
      <c r="J64" s="126"/>
      <c r="K64" s="121"/>
      <c r="L64" s="121"/>
      <c r="M64" s="131"/>
      <c r="N64" s="132"/>
      <c r="O64" s="132"/>
      <c r="P64" s="132"/>
      <c r="Q64" s="132"/>
      <c r="R64" s="132"/>
      <c r="S64" s="132"/>
      <c r="T64" s="132"/>
      <c r="U64" s="86"/>
      <c r="V64" s="86"/>
      <c r="W64" s="86"/>
      <c r="X64" s="86"/>
    </row>
    <row r="65">
      <c r="A65" s="93" t="s">
        <v>243</v>
      </c>
      <c r="B65" s="144" t="s">
        <v>116</v>
      </c>
      <c r="C65" s="123" t="s">
        <v>244</v>
      </c>
      <c r="D65" s="105" t="s">
        <v>245</v>
      </c>
      <c r="E65" s="105" t="s">
        <v>246</v>
      </c>
      <c r="F65" s="105" t="s">
        <v>247</v>
      </c>
      <c r="G65" s="128" t="s">
        <v>10</v>
      </c>
      <c r="H65" s="149" t="s">
        <v>154</v>
      </c>
      <c r="I65" s="150" t="s">
        <v>122</v>
      </c>
      <c r="J65" s="147" t="s">
        <v>209</v>
      </c>
      <c r="K65" s="121"/>
      <c r="L65" s="121"/>
      <c r="M65" s="131"/>
      <c r="N65" s="132"/>
      <c r="O65" s="132"/>
      <c r="P65" s="132"/>
      <c r="Q65" s="132"/>
      <c r="R65" s="132"/>
      <c r="S65" s="132"/>
      <c r="T65" s="132"/>
      <c r="U65" s="86"/>
      <c r="V65" s="86"/>
      <c r="W65" s="86"/>
      <c r="X65" s="86"/>
    </row>
    <row r="66">
      <c r="A66" s="155"/>
      <c r="B66" s="144" t="s">
        <v>116</v>
      </c>
      <c r="C66" s="123" t="s">
        <v>248</v>
      </c>
      <c r="D66" s="105" t="s">
        <v>249</v>
      </c>
      <c r="E66" s="105" t="s">
        <v>249</v>
      </c>
      <c r="F66" s="105" t="s">
        <v>250</v>
      </c>
      <c r="G66" s="128" t="s">
        <v>10</v>
      </c>
      <c r="H66" s="149" t="s">
        <v>154</v>
      </c>
      <c r="I66" s="150" t="s">
        <v>122</v>
      </c>
      <c r="J66" s="147" t="s">
        <v>209</v>
      </c>
      <c r="K66" s="141"/>
      <c r="L66" s="141"/>
      <c r="M66" s="141"/>
      <c r="N66" s="141"/>
      <c r="O66" s="141"/>
      <c r="P66" s="141"/>
      <c r="Q66" s="141"/>
      <c r="R66" s="141"/>
      <c r="S66" s="141"/>
      <c r="T66" s="141"/>
      <c r="U66" s="101"/>
      <c r="V66" s="101"/>
      <c r="W66" s="101"/>
      <c r="X66" s="101"/>
    </row>
    <row r="67">
      <c r="A67" s="153"/>
      <c r="B67" s="144" t="s">
        <v>116</v>
      </c>
      <c r="C67" s="123" t="s">
        <v>251</v>
      </c>
      <c r="D67" s="105" t="s">
        <v>252</v>
      </c>
      <c r="E67" s="105" t="s">
        <v>253</v>
      </c>
      <c r="F67" s="105" t="s">
        <v>254</v>
      </c>
      <c r="G67" s="128" t="s">
        <v>10</v>
      </c>
      <c r="H67" s="149" t="s">
        <v>154</v>
      </c>
      <c r="I67" s="150" t="s">
        <v>122</v>
      </c>
      <c r="J67" s="147" t="s">
        <v>209</v>
      </c>
      <c r="K67" s="121"/>
      <c r="L67" s="121"/>
      <c r="M67" s="131"/>
      <c r="N67" s="132"/>
      <c r="O67" s="132"/>
      <c r="P67" s="132"/>
      <c r="Q67" s="132"/>
      <c r="R67" s="132"/>
      <c r="S67" s="132"/>
      <c r="T67" s="132"/>
      <c r="U67" s="86"/>
      <c r="V67" s="86"/>
      <c r="W67" s="86"/>
      <c r="X67" s="86"/>
    </row>
    <row r="68">
      <c r="A68" s="156"/>
      <c r="B68" s="144" t="s">
        <v>116</v>
      </c>
      <c r="C68" s="123" t="s">
        <v>255</v>
      </c>
      <c r="D68" s="105" t="s">
        <v>256</v>
      </c>
      <c r="E68" s="105" t="s">
        <v>257</v>
      </c>
      <c r="F68" s="105" t="s">
        <v>258</v>
      </c>
      <c r="G68" s="128" t="s">
        <v>10</v>
      </c>
      <c r="H68" s="149" t="s">
        <v>154</v>
      </c>
      <c r="I68" s="150" t="s">
        <v>122</v>
      </c>
      <c r="J68" s="147" t="s">
        <v>209</v>
      </c>
      <c r="K68" s="121"/>
      <c r="L68" s="121"/>
      <c r="M68" s="131"/>
      <c r="N68" s="132"/>
      <c r="O68" s="132"/>
      <c r="P68" s="132"/>
      <c r="Q68" s="132"/>
      <c r="R68" s="132"/>
      <c r="S68" s="132"/>
      <c r="T68" s="132"/>
      <c r="U68" s="86"/>
      <c r="V68" s="86"/>
      <c r="W68" s="86"/>
      <c r="X68" s="86"/>
    </row>
    <row r="69">
      <c r="A69" s="126"/>
      <c r="B69" s="126"/>
      <c r="C69" s="126"/>
      <c r="D69" s="127"/>
      <c r="E69" s="127"/>
      <c r="F69" s="127"/>
      <c r="G69" s="126"/>
      <c r="H69" s="126"/>
      <c r="I69" s="126"/>
      <c r="J69" s="126"/>
      <c r="K69" s="121"/>
      <c r="L69" s="121"/>
      <c r="M69" s="131"/>
      <c r="N69" s="132"/>
      <c r="O69" s="132"/>
      <c r="P69" s="132"/>
      <c r="Q69" s="132"/>
      <c r="R69" s="132"/>
      <c r="S69" s="132"/>
      <c r="T69" s="132"/>
      <c r="U69" s="86"/>
      <c r="V69" s="86"/>
      <c r="W69" s="86"/>
      <c r="X69" s="86"/>
    </row>
    <row r="70">
      <c r="A70" s="139"/>
      <c r="B70" s="157"/>
      <c r="C70" s="158"/>
      <c r="D70" s="159"/>
      <c r="E70" s="159"/>
      <c r="F70" s="159"/>
      <c r="G70" s="128"/>
      <c r="H70" s="160"/>
      <c r="I70" s="158"/>
      <c r="J70" s="158"/>
      <c r="K70" s="121"/>
      <c r="L70" s="121"/>
      <c r="M70" s="131"/>
      <c r="N70" s="132"/>
      <c r="O70" s="132"/>
      <c r="P70" s="132"/>
      <c r="Q70" s="132"/>
      <c r="R70" s="132"/>
      <c r="S70" s="132"/>
      <c r="T70" s="132"/>
      <c r="U70" s="86"/>
      <c r="V70" s="86"/>
      <c r="W70" s="86"/>
      <c r="X70" s="86"/>
    </row>
    <row r="71">
      <c r="A71" s="139"/>
      <c r="B71" s="157"/>
      <c r="C71" s="158"/>
      <c r="D71" s="159"/>
      <c r="E71" s="159"/>
      <c r="F71" s="159"/>
      <c r="G71" s="128"/>
      <c r="H71" s="160"/>
      <c r="I71" s="158"/>
      <c r="J71" s="158"/>
      <c r="K71" s="140"/>
      <c r="L71" s="140"/>
      <c r="M71" s="140"/>
      <c r="N71" s="140"/>
      <c r="O71" s="140"/>
      <c r="P71" s="140"/>
      <c r="Q71" s="140"/>
      <c r="R71" s="140"/>
      <c r="S71" s="140"/>
      <c r="T71" s="140"/>
      <c r="U71" s="101"/>
      <c r="V71" s="101"/>
      <c r="W71" s="101"/>
      <c r="X71" s="101"/>
    </row>
    <row r="72">
      <c r="A72" s="139"/>
      <c r="B72" s="157"/>
      <c r="C72" s="158"/>
      <c r="D72" s="159"/>
      <c r="E72" s="159"/>
      <c r="F72" s="159"/>
      <c r="G72" s="128"/>
      <c r="H72" s="160"/>
      <c r="I72" s="158"/>
      <c r="J72" s="158"/>
      <c r="K72" s="140"/>
      <c r="L72" s="140"/>
      <c r="M72" s="140"/>
      <c r="N72" s="140"/>
      <c r="O72" s="140"/>
      <c r="P72" s="140"/>
      <c r="Q72" s="140"/>
      <c r="R72" s="140"/>
      <c r="S72" s="140"/>
      <c r="T72" s="140"/>
      <c r="U72" s="101"/>
      <c r="V72" s="101"/>
      <c r="W72" s="101"/>
      <c r="X72" s="101"/>
    </row>
    <row r="73">
      <c r="A73" s="139"/>
      <c r="B73" s="157"/>
      <c r="C73" s="158"/>
      <c r="D73" s="159"/>
      <c r="E73" s="159"/>
      <c r="F73" s="159"/>
      <c r="G73" s="128"/>
      <c r="H73" s="160"/>
      <c r="I73" s="158"/>
      <c r="J73" s="158"/>
      <c r="K73" s="140"/>
      <c r="L73" s="140"/>
      <c r="M73" s="140"/>
      <c r="N73" s="140"/>
      <c r="O73" s="140"/>
      <c r="P73" s="140"/>
      <c r="Q73" s="140"/>
      <c r="R73" s="140"/>
      <c r="S73" s="140"/>
      <c r="T73" s="140"/>
      <c r="U73" s="101"/>
      <c r="V73" s="101"/>
      <c r="W73" s="101"/>
      <c r="X73" s="101"/>
    </row>
    <row r="74">
      <c r="A74" s="139"/>
      <c r="B74" s="157"/>
      <c r="C74" s="158"/>
      <c r="D74" s="159"/>
      <c r="E74" s="159"/>
      <c r="F74" s="159"/>
      <c r="G74" s="128"/>
      <c r="H74" s="160"/>
      <c r="I74" s="158"/>
      <c r="J74" s="158"/>
      <c r="K74" s="140"/>
      <c r="L74" s="140"/>
      <c r="M74" s="140"/>
      <c r="N74" s="140"/>
      <c r="O74" s="140"/>
      <c r="P74" s="140"/>
      <c r="Q74" s="140"/>
      <c r="R74" s="140"/>
      <c r="S74" s="140"/>
      <c r="T74" s="140"/>
      <c r="U74" s="101"/>
      <c r="V74" s="101"/>
      <c r="W74" s="101"/>
      <c r="X74" s="101"/>
    </row>
    <row r="75">
      <c r="A75" s="139"/>
      <c r="B75" s="157"/>
      <c r="C75" s="158"/>
      <c r="D75" s="159"/>
      <c r="E75" s="159"/>
      <c r="F75" s="159"/>
      <c r="G75" s="128"/>
      <c r="H75" s="160"/>
      <c r="I75" s="158"/>
      <c r="J75" s="158"/>
      <c r="K75" s="140"/>
      <c r="L75" s="140"/>
      <c r="M75" s="140"/>
      <c r="N75" s="140"/>
      <c r="O75" s="140"/>
      <c r="P75" s="140"/>
      <c r="Q75" s="140"/>
      <c r="R75" s="140"/>
      <c r="S75" s="140"/>
      <c r="T75" s="140"/>
      <c r="U75" s="101"/>
      <c r="V75" s="101"/>
      <c r="W75" s="101"/>
      <c r="X75" s="101"/>
    </row>
    <row r="76">
      <c r="A76" s="139"/>
      <c r="B76" s="157"/>
      <c r="C76" s="158"/>
      <c r="D76" s="159"/>
      <c r="E76" s="159"/>
      <c r="F76" s="159"/>
      <c r="G76" s="128"/>
      <c r="H76" s="160"/>
      <c r="I76" s="158"/>
      <c r="J76" s="158"/>
      <c r="K76" s="140"/>
      <c r="L76" s="140"/>
      <c r="M76" s="140"/>
      <c r="N76" s="140"/>
      <c r="O76" s="140"/>
      <c r="P76" s="140"/>
      <c r="Q76" s="140"/>
      <c r="R76" s="140"/>
      <c r="S76" s="140"/>
      <c r="T76" s="140"/>
      <c r="U76" s="101"/>
      <c r="V76" s="101"/>
      <c r="W76" s="101"/>
      <c r="X76" s="101"/>
    </row>
    <row r="77">
      <c r="A77" s="139"/>
      <c r="B77" s="157"/>
      <c r="C77" s="158"/>
      <c r="D77" s="159"/>
      <c r="E77" s="159"/>
      <c r="F77" s="159"/>
      <c r="G77" s="128"/>
      <c r="H77" s="160"/>
      <c r="I77" s="158"/>
      <c r="J77" s="158"/>
      <c r="K77" s="140"/>
      <c r="L77" s="140"/>
      <c r="M77" s="140"/>
      <c r="N77" s="140"/>
      <c r="O77" s="140"/>
      <c r="P77" s="140"/>
      <c r="Q77" s="140"/>
      <c r="R77" s="140"/>
      <c r="S77" s="140"/>
      <c r="T77" s="140"/>
      <c r="U77" s="101"/>
      <c r="V77" s="101"/>
      <c r="W77" s="101"/>
      <c r="X77" s="101"/>
    </row>
    <row r="78">
      <c r="A78" s="139"/>
      <c r="B78" s="157"/>
      <c r="C78" s="158"/>
      <c r="D78" s="159"/>
      <c r="E78" s="159"/>
      <c r="F78" s="159"/>
      <c r="G78" s="128"/>
      <c r="H78" s="160"/>
      <c r="I78" s="158"/>
      <c r="J78" s="158"/>
      <c r="K78" s="140"/>
      <c r="L78" s="140"/>
      <c r="M78" s="140"/>
      <c r="N78" s="140"/>
      <c r="O78" s="140"/>
      <c r="P78" s="140"/>
      <c r="Q78" s="140"/>
      <c r="R78" s="140"/>
      <c r="S78" s="140"/>
      <c r="T78" s="140"/>
      <c r="U78" s="101"/>
      <c r="V78" s="101"/>
      <c r="W78" s="101"/>
      <c r="X78" s="101"/>
    </row>
    <row r="79">
      <c r="A79" s="139"/>
      <c r="B79" s="157"/>
      <c r="C79" s="158"/>
      <c r="D79" s="159"/>
      <c r="E79" s="159"/>
      <c r="F79" s="159"/>
      <c r="G79" s="128"/>
      <c r="H79" s="160"/>
      <c r="I79" s="158"/>
      <c r="J79" s="158"/>
      <c r="K79" s="140"/>
      <c r="L79" s="140"/>
      <c r="M79" s="140"/>
      <c r="N79" s="140"/>
      <c r="O79" s="140"/>
      <c r="P79" s="140"/>
      <c r="Q79" s="140"/>
      <c r="R79" s="140"/>
      <c r="S79" s="140"/>
      <c r="T79" s="140"/>
      <c r="U79" s="101"/>
      <c r="V79" s="101"/>
      <c r="W79" s="101"/>
      <c r="X79" s="101"/>
    </row>
    <row r="80">
      <c r="A80" s="139"/>
      <c r="B80" s="157"/>
      <c r="C80" s="158"/>
      <c r="D80" s="159"/>
      <c r="E80" s="159"/>
      <c r="F80" s="159"/>
      <c r="G80" s="128"/>
      <c r="H80" s="160"/>
      <c r="I80" s="158"/>
      <c r="J80" s="158"/>
      <c r="K80" s="140"/>
      <c r="L80" s="140"/>
      <c r="M80" s="140"/>
      <c r="N80" s="140"/>
      <c r="O80" s="140"/>
      <c r="P80" s="140"/>
      <c r="Q80" s="140"/>
      <c r="R80" s="140"/>
      <c r="S80" s="140"/>
      <c r="T80" s="140"/>
      <c r="U80" s="101"/>
      <c r="V80" s="101"/>
      <c r="W80" s="101"/>
      <c r="X80" s="101"/>
    </row>
    <row r="81">
      <c r="A81" s="139"/>
      <c r="B81" s="157"/>
      <c r="C81" s="158"/>
      <c r="D81" s="159"/>
      <c r="E81" s="159"/>
      <c r="F81" s="159"/>
      <c r="G81" s="128"/>
      <c r="H81" s="160"/>
      <c r="I81" s="158"/>
      <c r="J81" s="158"/>
      <c r="K81" s="140"/>
      <c r="L81" s="140"/>
      <c r="M81" s="140"/>
      <c r="N81" s="140"/>
      <c r="O81" s="140"/>
      <c r="P81" s="140"/>
      <c r="Q81" s="140"/>
      <c r="R81" s="140"/>
      <c r="S81" s="140"/>
      <c r="T81" s="140"/>
      <c r="U81" s="101"/>
      <c r="V81" s="101"/>
      <c r="W81" s="101"/>
      <c r="X81" s="101"/>
    </row>
    <row r="82">
      <c r="A82" s="139"/>
      <c r="B82" s="157"/>
      <c r="C82" s="158"/>
      <c r="D82" s="159"/>
      <c r="E82" s="159"/>
      <c r="F82" s="159"/>
      <c r="G82" s="128"/>
      <c r="H82" s="160"/>
      <c r="I82" s="158"/>
      <c r="J82" s="158"/>
      <c r="K82" s="140"/>
      <c r="L82" s="140"/>
      <c r="M82" s="140"/>
      <c r="N82" s="140"/>
      <c r="O82" s="140"/>
      <c r="P82" s="140"/>
      <c r="Q82" s="140"/>
      <c r="R82" s="140"/>
      <c r="S82" s="140"/>
      <c r="T82" s="140"/>
      <c r="U82" s="101"/>
      <c r="V82" s="101"/>
      <c r="W82" s="101"/>
      <c r="X82" s="101"/>
    </row>
    <row r="83">
      <c r="A83" s="122"/>
      <c r="B83" s="161"/>
      <c r="C83" s="162"/>
      <c r="D83" s="163"/>
      <c r="E83" s="163"/>
      <c r="F83" s="163"/>
      <c r="G83" s="164"/>
      <c r="H83" s="164"/>
      <c r="I83" s="164"/>
      <c r="J83" s="164"/>
      <c r="K83" s="121"/>
      <c r="L83" s="121"/>
      <c r="M83" s="131"/>
      <c r="N83" s="132"/>
      <c r="O83" s="132"/>
      <c r="P83" s="132"/>
      <c r="Q83" s="132"/>
      <c r="R83" s="132"/>
      <c r="S83" s="132"/>
      <c r="T83" s="132"/>
      <c r="U83" s="86"/>
      <c r="V83" s="86"/>
      <c r="W83" s="86"/>
      <c r="X83" s="86"/>
    </row>
    <row r="84">
      <c r="A84" s="165"/>
      <c r="B84" s="157"/>
      <c r="C84" s="166"/>
      <c r="D84" s="159"/>
      <c r="E84" s="159"/>
      <c r="F84" s="159"/>
      <c r="G84" s="128"/>
      <c r="H84" s="160"/>
      <c r="I84" s="158"/>
      <c r="J84" s="158"/>
      <c r="K84" s="140"/>
      <c r="L84" s="140"/>
      <c r="M84" s="140"/>
      <c r="N84" s="140"/>
      <c r="O84" s="140"/>
      <c r="P84" s="140"/>
      <c r="Q84" s="140"/>
      <c r="R84" s="140"/>
      <c r="S84" s="140"/>
      <c r="T84" s="140"/>
      <c r="U84" s="101"/>
      <c r="V84" s="101"/>
      <c r="W84" s="101"/>
      <c r="X84" s="101"/>
    </row>
    <row r="85">
      <c r="A85" s="139"/>
      <c r="B85" s="157"/>
      <c r="C85" s="166"/>
      <c r="D85" s="159"/>
      <c r="E85" s="159"/>
      <c r="F85" s="159"/>
      <c r="G85" s="128"/>
      <c r="H85" s="160"/>
      <c r="I85" s="158"/>
      <c r="J85" s="158"/>
      <c r="K85" s="140"/>
      <c r="L85" s="140"/>
      <c r="M85" s="140"/>
      <c r="N85" s="140"/>
      <c r="O85" s="140"/>
      <c r="P85" s="140"/>
      <c r="Q85" s="140"/>
      <c r="R85" s="140"/>
      <c r="S85" s="140"/>
      <c r="T85" s="140"/>
      <c r="U85" s="101"/>
      <c r="V85" s="101"/>
      <c r="W85" s="101"/>
      <c r="X85" s="101"/>
    </row>
    <row r="86">
      <c r="A86" s="139"/>
      <c r="B86" s="157"/>
      <c r="C86" s="166"/>
      <c r="D86" s="159"/>
      <c r="E86" s="159"/>
      <c r="F86" s="159"/>
      <c r="G86" s="128"/>
      <c r="H86" s="160"/>
      <c r="I86" s="158"/>
      <c r="J86" s="158"/>
      <c r="K86" s="140"/>
      <c r="L86" s="140"/>
      <c r="M86" s="140"/>
      <c r="N86" s="140"/>
      <c r="O86" s="140"/>
      <c r="P86" s="140"/>
      <c r="Q86" s="140"/>
      <c r="R86" s="140"/>
      <c r="S86" s="140"/>
      <c r="T86" s="140"/>
      <c r="U86" s="101"/>
      <c r="V86" s="101"/>
      <c r="W86" s="101"/>
      <c r="X86" s="101"/>
    </row>
    <row r="87">
      <c r="A87" s="139"/>
      <c r="B87" s="157"/>
      <c r="C87" s="166"/>
      <c r="D87" s="159"/>
      <c r="E87" s="159"/>
      <c r="F87" s="159"/>
      <c r="G87" s="128"/>
      <c r="H87" s="160"/>
      <c r="I87" s="158"/>
      <c r="J87" s="158"/>
      <c r="K87" s="140"/>
      <c r="L87" s="140"/>
      <c r="M87" s="140"/>
      <c r="N87" s="140"/>
      <c r="O87" s="140"/>
      <c r="P87" s="140"/>
      <c r="Q87" s="140"/>
      <c r="R87" s="140"/>
      <c r="S87" s="140"/>
      <c r="T87" s="140"/>
      <c r="U87" s="101"/>
      <c r="V87" s="101"/>
      <c r="W87" s="101"/>
      <c r="X87" s="101"/>
    </row>
    <row r="88">
      <c r="A88" s="139"/>
      <c r="B88" s="157"/>
      <c r="C88" s="166"/>
      <c r="D88" s="159"/>
      <c r="E88" s="159"/>
      <c r="F88" s="159"/>
      <c r="G88" s="128"/>
      <c r="H88" s="160"/>
      <c r="I88" s="158"/>
      <c r="J88" s="158"/>
      <c r="K88" s="140"/>
      <c r="L88" s="140"/>
      <c r="M88" s="140"/>
      <c r="N88" s="140"/>
      <c r="O88" s="140"/>
      <c r="P88" s="140"/>
      <c r="Q88" s="140"/>
      <c r="R88" s="140"/>
      <c r="S88" s="140"/>
      <c r="T88" s="140"/>
      <c r="U88" s="101"/>
      <c r="V88" s="101"/>
      <c r="W88" s="101"/>
      <c r="X88" s="101"/>
    </row>
    <row r="89">
      <c r="A89" s="139"/>
      <c r="B89" s="157"/>
      <c r="C89" s="166"/>
      <c r="D89" s="159"/>
      <c r="E89" s="159"/>
      <c r="F89" s="159"/>
      <c r="G89" s="128"/>
      <c r="H89" s="160"/>
      <c r="I89" s="158"/>
      <c r="J89" s="158"/>
      <c r="K89" s="140"/>
      <c r="L89" s="140"/>
      <c r="M89" s="140"/>
      <c r="N89" s="140"/>
      <c r="O89" s="140"/>
      <c r="P89" s="140"/>
      <c r="Q89" s="140"/>
      <c r="R89" s="140"/>
      <c r="S89" s="140"/>
      <c r="T89" s="140"/>
      <c r="U89" s="101"/>
      <c r="V89" s="101"/>
      <c r="W89" s="101"/>
      <c r="X89" s="101"/>
    </row>
    <row r="90">
      <c r="A90" s="139"/>
      <c r="B90" s="157"/>
      <c r="C90" s="166"/>
      <c r="D90" s="159"/>
      <c r="E90" s="159"/>
      <c r="F90" s="159"/>
      <c r="G90" s="128"/>
      <c r="H90" s="160"/>
      <c r="I90" s="158"/>
      <c r="J90" s="158"/>
      <c r="K90" s="140"/>
      <c r="L90" s="140"/>
      <c r="M90" s="140"/>
      <c r="N90" s="140"/>
      <c r="O90" s="140"/>
      <c r="P90" s="140"/>
      <c r="Q90" s="140"/>
      <c r="R90" s="140"/>
      <c r="S90" s="140"/>
      <c r="T90" s="140"/>
      <c r="U90" s="101"/>
      <c r="V90" s="101"/>
      <c r="W90" s="101"/>
      <c r="X90" s="101"/>
    </row>
    <row r="91">
      <c r="A91" s="139"/>
      <c r="B91" s="157"/>
      <c r="C91" s="166"/>
      <c r="D91" s="159"/>
      <c r="E91" s="159"/>
      <c r="F91" s="159"/>
      <c r="G91" s="128"/>
      <c r="H91" s="160"/>
      <c r="I91" s="158"/>
      <c r="J91" s="158"/>
      <c r="K91" s="140"/>
      <c r="L91" s="140"/>
      <c r="M91" s="140"/>
      <c r="N91" s="140"/>
      <c r="O91" s="140"/>
      <c r="P91" s="140"/>
      <c r="Q91" s="140"/>
      <c r="R91" s="140"/>
      <c r="S91" s="140"/>
      <c r="T91" s="140"/>
      <c r="U91" s="101"/>
      <c r="V91" s="101"/>
      <c r="W91" s="101"/>
      <c r="X91" s="101"/>
    </row>
    <row r="92">
      <c r="A92" s="139"/>
      <c r="B92" s="157"/>
      <c r="C92" s="166"/>
      <c r="D92" s="159"/>
      <c r="E92" s="159"/>
      <c r="F92" s="159"/>
      <c r="G92" s="128"/>
      <c r="H92" s="160"/>
      <c r="I92" s="158"/>
      <c r="J92" s="158"/>
      <c r="K92" s="140"/>
      <c r="L92" s="140"/>
      <c r="M92" s="140"/>
      <c r="N92" s="140"/>
      <c r="O92" s="140"/>
      <c r="P92" s="140"/>
      <c r="Q92" s="140"/>
      <c r="R92" s="140"/>
      <c r="S92" s="140"/>
      <c r="T92" s="140"/>
      <c r="U92" s="101"/>
      <c r="V92" s="101"/>
      <c r="W92" s="101"/>
      <c r="X92" s="101"/>
    </row>
    <row r="93">
      <c r="A93" s="139"/>
      <c r="B93" s="157"/>
      <c r="C93" s="166"/>
      <c r="D93" s="159"/>
      <c r="E93" s="159"/>
      <c r="F93" s="159"/>
      <c r="G93" s="128"/>
      <c r="H93" s="160"/>
      <c r="I93" s="158"/>
      <c r="J93" s="158"/>
      <c r="K93" s="140"/>
      <c r="L93" s="140"/>
      <c r="M93" s="140"/>
      <c r="N93" s="140"/>
      <c r="O93" s="140"/>
      <c r="P93" s="140"/>
      <c r="Q93" s="140"/>
      <c r="R93" s="140"/>
      <c r="S93" s="140"/>
      <c r="T93" s="140"/>
      <c r="U93" s="101"/>
      <c r="V93" s="101"/>
      <c r="W93" s="101"/>
      <c r="X93" s="101"/>
    </row>
    <row r="94">
      <c r="A94" s="139"/>
      <c r="B94" s="157"/>
      <c r="C94" s="166"/>
      <c r="D94" s="159"/>
      <c r="E94" s="159"/>
      <c r="F94" s="159"/>
      <c r="G94" s="128"/>
      <c r="H94" s="160"/>
      <c r="I94" s="158"/>
      <c r="J94" s="158"/>
      <c r="K94" s="140"/>
      <c r="L94" s="140"/>
      <c r="M94" s="140"/>
      <c r="N94" s="140"/>
      <c r="O94" s="140"/>
      <c r="P94" s="140"/>
      <c r="Q94" s="140"/>
      <c r="R94" s="140"/>
      <c r="S94" s="140"/>
      <c r="T94" s="140"/>
      <c r="U94" s="101"/>
      <c r="V94" s="101"/>
      <c r="W94" s="101"/>
      <c r="X94" s="101"/>
    </row>
    <row r="95">
      <c r="A95" s="122"/>
      <c r="B95" s="161"/>
      <c r="C95" s="162"/>
      <c r="D95" s="163"/>
      <c r="E95" s="163"/>
      <c r="F95" s="163"/>
      <c r="G95" s="164"/>
      <c r="H95" s="164"/>
      <c r="I95" s="164"/>
      <c r="J95" s="164"/>
      <c r="K95" s="121"/>
      <c r="L95" s="121"/>
      <c r="M95" s="131"/>
      <c r="N95" s="132"/>
      <c r="O95" s="132"/>
      <c r="P95" s="132"/>
      <c r="Q95" s="132"/>
      <c r="R95" s="132"/>
      <c r="S95" s="132"/>
      <c r="T95" s="132"/>
      <c r="U95" s="86"/>
      <c r="V95" s="86"/>
      <c r="W95" s="86"/>
      <c r="X95" s="86"/>
    </row>
    <row r="96">
      <c r="A96" s="166"/>
      <c r="B96" s="157"/>
      <c r="C96" s="166"/>
      <c r="D96" s="159"/>
      <c r="E96" s="159"/>
      <c r="F96" s="159"/>
      <c r="G96" s="128"/>
      <c r="H96" s="160"/>
      <c r="I96" s="158"/>
      <c r="J96" s="158"/>
      <c r="K96" s="140"/>
      <c r="L96" s="140"/>
      <c r="M96" s="140"/>
      <c r="N96" s="140"/>
      <c r="O96" s="140"/>
      <c r="P96" s="140"/>
      <c r="Q96" s="140"/>
      <c r="R96" s="140"/>
      <c r="S96" s="140"/>
      <c r="T96" s="140"/>
      <c r="U96" s="101"/>
      <c r="V96" s="101"/>
      <c r="W96" s="101"/>
      <c r="X96" s="101"/>
    </row>
    <row r="97">
      <c r="A97" s="139"/>
      <c r="B97" s="157"/>
      <c r="C97" s="166"/>
      <c r="D97" s="159"/>
      <c r="E97" s="159"/>
      <c r="F97" s="159"/>
      <c r="G97" s="128"/>
      <c r="H97" s="160"/>
      <c r="I97" s="158"/>
      <c r="J97" s="158"/>
      <c r="K97" s="140"/>
      <c r="L97" s="140"/>
      <c r="M97" s="140"/>
      <c r="N97" s="140"/>
      <c r="O97" s="140"/>
      <c r="P97" s="140"/>
      <c r="Q97" s="140"/>
      <c r="R97" s="140"/>
      <c r="S97" s="140"/>
      <c r="T97" s="140"/>
      <c r="U97" s="101"/>
      <c r="V97" s="101"/>
      <c r="W97" s="101"/>
      <c r="X97" s="101"/>
    </row>
    <row r="98">
      <c r="A98" s="139"/>
      <c r="B98" s="157"/>
      <c r="C98" s="166"/>
      <c r="D98" s="159"/>
      <c r="E98" s="159"/>
      <c r="F98" s="159"/>
      <c r="G98" s="128"/>
      <c r="H98" s="160"/>
      <c r="I98" s="158"/>
      <c r="J98" s="158"/>
      <c r="K98" s="140"/>
      <c r="L98" s="140"/>
      <c r="M98" s="140"/>
      <c r="N98" s="140"/>
      <c r="O98" s="140"/>
      <c r="P98" s="140"/>
      <c r="Q98" s="140"/>
      <c r="R98" s="140"/>
      <c r="S98" s="140"/>
      <c r="T98" s="140"/>
      <c r="U98" s="101"/>
      <c r="V98" s="101"/>
      <c r="W98" s="101"/>
      <c r="X98" s="101"/>
    </row>
    <row r="99">
      <c r="A99" s="139"/>
      <c r="B99" s="157"/>
      <c r="C99" s="166"/>
      <c r="D99" s="159"/>
      <c r="E99" s="159"/>
      <c r="F99" s="159"/>
      <c r="G99" s="128"/>
      <c r="H99" s="160"/>
      <c r="I99" s="158"/>
      <c r="J99" s="158"/>
      <c r="K99" s="140"/>
      <c r="L99" s="140"/>
      <c r="M99" s="140"/>
      <c r="N99" s="140"/>
      <c r="O99" s="140"/>
      <c r="P99" s="140"/>
      <c r="Q99" s="140"/>
      <c r="R99" s="140"/>
      <c r="S99" s="140"/>
      <c r="T99" s="140"/>
      <c r="U99" s="101"/>
      <c r="V99" s="101"/>
      <c r="W99" s="101"/>
      <c r="X99" s="101"/>
    </row>
    <row r="100">
      <c r="A100" s="142"/>
      <c r="B100" s="157"/>
      <c r="C100" s="166"/>
      <c r="D100" s="159"/>
      <c r="E100" s="159"/>
      <c r="F100" s="159"/>
      <c r="G100" s="128"/>
      <c r="H100" s="160"/>
      <c r="I100" s="158"/>
      <c r="J100" s="158"/>
      <c r="K100" s="140"/>
      <c r="L100" s="140"/>
      <c r="M100" s="140"/>
      <c r="N100" s="140"/>
      <c r="O100" s="140"/>
      <c r="P100" s="140"/>
      <c r="Q100" s="140"/>
      <c r="R100" s="140"/>
      <c r="S100" s="140"/>
      <c r="T100" s="140"/>
      <c r="U100" s="101"/>
      <c r="V100" s="101"/>
      <c r="W100" s="101"/>
      <c r="X100" s="101"/>
    </row>
    <row r="101">
      <c r="A101" s="139"/>
      <c r="B101" s="157"/>
      <c r="C101" s="166"/>
      <c r="D101" s="159"/>
      <c r="E101" s="159"/>
      <c r="F101" s="159"/>
      <c r="G101" s="128"/>
      <c r="H101" s="160"/>
      <c r="I101" s="158"/>
      <c r="J101" s="158"/>
      <c r="K101" s="140"/>
      <c r="L101" s="140"/>
      <c r="M101" s="140"/>
      <c r="N101" s="140"/>
      <c r="O101" s="140"/>
      <c r="P101" s="140"/>
      <c r="Q101" s="140"/>
      <c r="R101" s="140"/>
      <c r="S101" s="140"/>
      <c r="T101" s="140"/>
      <c r="U101" s="101"/>
      <c r="V101" s="101"/>
      <c r="W101" s="101"/>
      <c r="X101" s="101"/>
    </row>
    <row r="102">
      <c r="A102" s="139"/>
      <c r="B102" s="157"/>
      <c r="C102" s="166"/>
      <c r="D102" s="159"/>
      <c r="E102" s="159"/>
      <c r="F102" s="159"/>
      <c r="G102" s="128"/>
      <c r="H102" s="160"/>
      <c r="I102" s="158"/>
      <c r="J102" s="158"/>
      <c r="K102" s="140"/>
      <c r="L102" s="140"/>
      <c r="M102" s="140"/>
      <c r="N102" s="140"/>
      <c r="O102" s="140"/>
      <c r="P102" s="140"/>
      <c r="Q102" s="140"/>
      <c r="R102" s="140"/>
      <c r="S102" s="140"/>
      <c r="T102" s="140"/>
      <c r="U102" s="101"/>
      <c r="V102" s="101"/>
      <c r="W102" s="101"/>
      <c r="X102" s="101"/>
    </row>
    <row r="103">
      <c r="A103" s="139"/>
      <c r="B103" s="157"/>
      <c r="C103" s="166"/>
      <c r="D103" s="159"/>
      <c r="E103" s="159"/>
      <c r="F103" s="159"/>
      <c r="G103" s="128"/>
      <c r="H103" s="160"/>
      <c r="I103" s="158"/>
      <c r="J103" s="158"/>
      <c r="K103" s="140"/>
      <c r="L103" s="140"/>
      <c r="M103" s="140"/>
      <c r="N103" s="140"/>
      <c r="O103" s="140"/>
      <c r="P103" s="140"/>
      <c r="Q103" s="140"/>
      <c r="R103" s="140"/>
      <c r="S103" s="140"/>
      <c r="T103" s="140"/>
      <c r="U103" s="101"/>
      <c r="V103" s="101"/>
      <c r="W103" s="101"/>
      <c r="X103" s="101"/>
    </row>
    <row r="104">
      <c r="A104" s="139"/>
      <c r="B104" s="157"/>
      <c r="C104" s="166"/>
      <c r="D104" s="159"/>
      <c r="E104" s="159"/>
      <c r="F104" s="159"/>
      <c r="G104" s="128"/>
      <c r="H104" s="160"/>
      <c r="I104" s="158"/>
      <c r="J104" s="158"/>
      <c r="K104" s="140"/>
      <c r="L104" s="140"/>
      <c r="M104" s="140"/>
      <c r="N104" s="140"/>
      <c r="O104" s="140"/>
      <c r="P104" s="140"/>
      <c r="Q104" s="140"/>
      <c r="R104" s="140"/>
      <c r="S104" s="140"/>
      <c r="T104" s="140"/>
      <c r="U104" s="101"/>
      <c r="V104" s="101"/>
      <c r="W104" s="101"/>
      <c r="X104" s="101"/>
    </row>
    <row r="105">
      <c r="A105" s="139"/>
      <c r="B105" s="157"/>
      <c r="C105" s="166"/>
      <c r="D105" s="159"/>
      <c r="E105" s="159"/>
      <c r="F105" s="159"/>
      <c r="G105" s="128"/>
      <c r="H105" s="160"/>
      <c r="I105" s="158"/>
      <c r="J105" s="158"/>
      <c r="K105" s="140"/>
      <c r="L105" s="140"/>
      <c r="M105" s="140"/>
      <c r="N105" s="140"/>
      <c r="O105" s="140"/>
      <c r="P105" s="140"/>
      <c r="Q105" s="140"/>
      <c r="R105" s="140"/>
      <c r="S105" s="140"/>
      <c r="T105" s="140"/>
      <c r="U105" s="101"/>
      <c r="V105" s="101"/>
      <c r="W105" s="101"/>
      <c r="X105" s="101"/>
    </row>
    <row r="106">
      <c r="A106" s="139"/>
      <c r="B106" s="157"/>
      <c r="C106" s="166"/>
      <c r="D106" s="159"/>
      <c r="E106" s="159"/>
      <c r="F106" s="159"/>
      <c r="G106" s="128"/>
      <c r="H106" s="160"/>
      <c r="I106" s="158"/>
      <c r="J106" s="158"/>
      <c r="K106" s="140"/>
      <c r="L106" s="140"/>
      <c r="M106" s="140"/>
      <c r="N106" s="140"/>
      <c r="O106" s="140"/>
      <c r="P106" s="140"/>
      <c r="Q106" s="140"/>
      <c r="R106" s="140"/>
      <c r="S106" s="140"/>
      <c r="T106" s="140"/>
      <c r="U106" s="101"/>
      <c r="V106" s="101"/>
      <c r="W106" s="101"/>
      <c r="X106" s="101"/>
    </row>
    <row r="107">
      <c r="A107" s="139"/>
      <c r="B107" s="157"/>
      <c r="C107" s="166"/>
      <c r="D107" s="159"/>
      <c r="E107" s="159"/>
      <c r="F107" s="159"/>
      <c r="G107" s="128"/>
      <c r="H107" s="160"/>
      <c r="I107" s="158"/>
      <c r="J107" s="158"/>
      <c r="K107" s="140"/>
      <c r="L107" s="140"/>
      <c r="M107" s="140"/>
      <c r="N107" s="140"/>
      <c r="O107" s="140"/>
      <c r="P107" s="140"/>
      <c r="Q107" s="140"/>
      <c r="R107" s="140"/>
      <c r="S107" s="140"/>
      <c r="T107" s="140"/>
      <c r="U107" s="101"/>
      <c r="V107" s="101"/>
      <c r="W107" s="101"/>
      <c r="X107" s="101"/>
    </row>
    <row r="108">
      <c r="A108" s="139"/>
      <c r="B108" s="157"/>
      <c r="C108" s="166"/>
      <c r="D108" s="159"/>
      <c r="E108" s="159"/>
      <c r="F108" s="159"/>
      <c r="G108" s="128"/>
      <c r="H108" s="160"/>
      <c r="I108" s="158"/>
      <c r="J108" s="158"/>
      <c r="K108" s="140"/>
      <c r="L108" s="140"/>
      <c r="M108" s="140"/>
      <c r="N108" s="140"/>
      <c r="O108" s="140"/>
      <c r="P108" s="140"/>
      <c r="Q108" s="140"/>
      <c r="R108" s="140"/>
      <c r="S108" s="140"/>
      <c r="T108" s="140"/>
      <c r="U108" s="101"/>
      <c r="V108" s="101"/>
      <c r="W108" s="101"/>
      <c r="X108" s="101"/>
    </row>
    <row r="109">
      <c r="A109" s="139"/>
      <c r="B109" s="157"/>
      <c r="C109" s="166"/>
      <c r="D109" s="159"/>
      <c r="E109" s="159"/>
      <c r="F109" s="159"/>
      <c r="G109" s="128"/>
      <c r="H109" s="160"/>
      <c r="I109" s="158"/>
      <c r="J109" s="158"/>
      <c r="K109" s="140"/>
      <c r="L109" s="140"/>
      <c r="M109" s="140"/>
      <c r="N109" s="140"/>
      <c r="O109" s="140"/>
      <c r="P109" s="140"/>
      <c r="Q109" s="140"/>
      <c r="R109" s="140"/>
      <c r="S109" s="140"/>
      <c r="T109" s="140"/>
      <c r="U109" s="101"/>
      <c r="V109" s="101"/>
      <c r="W109" s="101"/>
      <c r="X109" s="101"/>
    </row>
    <row r="110">
      <c r="A110" s="139"/>
      <c r="B110" s="157"/>
      <c r="C110" s="166"/>
      <c r="D110" s="159"/>
      <c r="E110" s="159"/>
      <c r="F110" s="159"/>
      <c r="G110" s="128"/>
      <c r="H110" s="160"/>
      <c r="I110" s="158"/>
      <c r="J110" s="158"/>
      <c r="K110" s="140"/>
      <c r="L110" s="140"/>
      <c r="M110" s="140"/>
      <c r="N110" s="140"/>
      <c r="O110" s="140"/>
      <c r="P110" s="140"/>
      <c r="Q110" s="140"/>
      <c r="R110" s="140"/>
      <c r="S110" s="140"/>
      <c r="T110" s="140"/>
      <c r="U110" s="101"/>
      <c r="V110" s="101"/>
      <c r="W110" s="101"/>
      <c r="X110" s="101"/>
    </row>
    <row r="111">
      <c r="A111" s="139"/>
      <c r="B111" s="157"/>
      <c r="C111" s="166"/>
      <c r="D111" s="159"/>
      <c r="E111" s="159"/>
      <c r="F111" s="159"/>
      <c r="G111" s="128"/>
      <c r="H111" s="160"/>
      <c r="I111" s="158"/>
      <c r="J111" s="158"/>
      <c r="K111" s="140"/>
      <c r="L111" s="140"/>
      <c r="M111" s="140"/>
      <c r="N111" s="140"/>
      <c r="O111" s="140"/>
      <c r="P111" s="140"/>
      <c r="Q111" s="140"/>
      <c r="R111" s="140"/>
      <c r="S111" s="140"/>
      <c r="T111" s="140"/>
      <c r="U111" s="101"/>
      <c r="V111" s="101"/>
      <c r="W111" s="101"/>
      <c r="X111" s="101"/>
    </row>
    <row r="112">
      <c r="A112" s="139"/>
      <c r="B112" s="157"/>
      <c r="C112" s="166"/>
      <c r="D112" s="159"/>
      <c r="E112" s="159"/>
      <c r="F112" s="159"/>
      <c r="G112" s="128"/>
      <c r="H112" s="160"/>
      <c r="I112" s="158"/>
      <c r="J112" s="158"/>
      <c r="K112" s="140"/>
      <c r="L112" s="140"/>
      <c r="M112" s="140"/>
      <c r="N112" s="140"/>
      <c r="O112" s="140"/>
      <c r="P112" s="140"/>
      <c r="Q112" s="140"/>
      <c r="R112" s="140"/>
      <c r="S112" s="140"/>
      <c r="T112" s="140"/>
      <c r="U112" s="101"/>
      <c r="V112" s="101"/>
      <c r="W112" s="101"/>
      <c r="X112" s="101"/>
    </row>
    <row r="113">
      <c r="A113" s="122"/>
      <c r="B113" s="161"/>
      <c r="C113" s="162"/>
      <c r="D113" s="163"/>
      <c r="E113" s="163"/>
      <c r="F113" s="163"/>
      <c r="G113" s="164"/>
      <c r="H113" s="164"/>
      <c r="I113" s="164"/>
      <c r="J113" s="164"/>
      <c r="K113" s="121"/>
      <c r="L113" s="121"/>
      <c r="M113" s="131"/>
      <c r="N113" s="132"/>
      <c r="O113" s="132"/>
      <c r="P113" s="132"/>
      <c r="Q113" s="132"/>
      <c r="R113" s="132"/>
      <c r="S113" s="132"/>
      <c r="T113" s="132"/>
      <c r="U113" s="86"/>
      <c r="V113" s="86"/>
      <c r="W113" s="86"/>
      <c r="X113" s="86"/>
    </row>
    <row r="114">
      <c r="A114" s="138"/>
      <c r="B114" s="157"/>
      <c r="C114" s="166"/>
      <c r="D114" s="159"/>
      <c r="E114" s="159"/>
      <c r="F114" s="159"/>
      <c r="G114" s="128"/>
      <c r="H114" s="160"/>
      <c r="I114" s="158"/>
      <c r="J114" s="158"/>
      <c r="K114" s="140"/>
      <c r="L114" s="140"/>
      <c r="M114" s="140"/>
      <c r="N114" s="140"/>
      <c r="O114" s="140"/>
      <c r="P114" s="140"/>
      <c r="Q114" s="140"/>
      <c r="R114" s="140"/>
      <c r="S114" s="140"/>
      <c r="T114" s="140"/>
      <c r="U114" s="101"/>
      <c r="V114" s="101"/>
      <c r="W114" s="101"/>
      <c r="X114" s="101"/>
    </row>
    <row r="115">
      <c r="A115" s="139"/>
      <c r="B115" s="157"/>
      <c r="C115" s="166"/>
      <c r="D115" s="159"/>
      <c r="E115" s="159"/>
      <c r="F115" s="159"/>
      <c r="G115" s="128"/>
      <c r="H115" s="160"/>
      <c r="I115" s="158"/>
      <c r="J115" s="158"/>
      <c r="K115" s="140"/>
      <c r="L115" s="140"/>
      <c r="M115" s="140"/>
      <c r="N115" s="140"/>
      <c r="O115" s="140"/>
      <c r="P115" s="140"/>
      <c r="Q115" s="140"/>
      <c r="R115" s="140"/>
      <c r="S115" s="140"/>
      <c r="T115" s="140"/>
      <c r="U115" s="101"/>
      <c r="V115" s="101"/>
      <c r="W115" s="101"/>
      <c r="X115" s="101"/>
    </row>
    <row r="116">
      <c r="A116" s="139"/>
      <c r="B116" s="157"/>
      <c r="C116" s="166"/>
      <c r="D116" s="159"/>
      <c r="E116" s="159"/>
      <c r="F116" s="159"/>
      <c r="G116" s="128"/>
      <c r="H116" s="160"/>
      <c r="I116" s="158"/>
      <c r="J116" s="158"/>
      <c r="K116" s="140"/>
      <c r="L116" s="140"/>
      <c r="M116" s="140"/>
      <c r="N116" s="140"/>
      <c r="O116" s="140"/>
      <c r="P116" s="140"/>
      <c r="Q116" s="140"/>
      <c r="R116" s="140"/>
      <c r="S116" s="140"/>
      <c r="T116" s="140"/>
      <c r="U116" s="101"/>
      <c r="V116" s="101"/>
      <c r="W116" s="101"/>
      <c r="X116" s="101"/>
    </row>
    <row r="117">
      <c r="A117" s="139"/>
      <c r="B117" s="157"/>
      <c r="C117" s="166"/>
      <c r="D117" s="159"/>
      <c r="E117" s="159"/>
      <c r="F117" s="159"/>
      <c r="G117" s="128"/>
      <c r="H117" s="160"/>
      <c r="I117" s="158"/>
      <c r="J117" s="158"/>
      <c r="K117" s="140"/>
      <c r="L117" s="140"/>
      <c r="M117" s="140"/>
      <c r="N117" s="140"/>
      <c r="O117" s="140"/>
      <c r="P117" s="140"/>
      <c r="Q117" s="140"/>
      <c r="R117" s="140"/>
      <c r="S117" s="140"/>
      <c r="T117" s="140"/>
      <c r="U117" s="101"/>
      <c r="V117" s="101"/>
      <c r="W117" s="101"/>
      <c r="X117" s="101"/>
    </row>
    <row r="118">
      <c r="A118" s="139"/>
      <c r="B118" s="157"/>
      <c r="C118" s="166"/>
      <c r="D118" s="159"/>
      <c r="E118" s="159"/>
      <c r="F118" s="159"/>
      <c r="G118" s="128"/>
      <c r="H118" s="160"/>
      <c r="I118" s="158"/>
      <c r="J118" s="158"/>
      <c r="K118" s="140"/>
      <c r="L118" s="140"/>
      <c r="M118" s="140"/>
      <c r="N118" s="140"/>
      <c r="O118" s="140"/>
      <c r="P118" s="140"/>
      <c r="Q118" s="140"/>
      <c r="R118" s="140"/>
      <c r="S118" s="140"/>
      <c r="T118" s="140"/>
      <c r="U118" s="101"/>
      <c r="V118" s="101"/>
      <c r="W118" s="101"/>
      <c r="X118" s="101"/>
    </row>
    <row r="119">
      <c r="A119" s="139"/>
      <c r="B119" s="157"/>
      <c r="C119" s="166"/>
      <c r="D119" s="159"/>
      <c r="E119" s="159"/>
      <c r="F119" s="159"/>
      <c r="G119" s="128"/>
      <c r="H119" s="160"/>
      <c r="I119" s="158"/>
      <c r="J119" s="158"/>
      <c r="K119" s="140"/>
      <c r="L119" s="140"/>
      <c r="M119" s="140"/>
      <c r="N119" s="140"/>
      <c r="O119" s="140"/>
      <c r="P119" s="140"/>
      <c r="Q119" s="140"/>
      <c r="R119" s="140"/>
      <c r="S119" s="140"/>
      <c r="T119" s="140"/>
      <c r="U119" s="101"/>
      <c r="V119" s="101"/>
      <c r="W119" s="101"/>
      <c r="X119" s="101"/>
    </row>
    <row r="120">
      <c r="A120" s="139"/>
      <c r="B120" s="157"/>
      <c r="C120" s="166"/>
      <c r="D120" s="159"/>
      <c r="E120" s="159"/>
      <c r="F120" s="159"/>
      <c r="G120" s="128"/>
      <c r="H120" s="160"/>
      <c r="I120" s="158"/>
      <c r="J120" s="158"/>
      <c r="K120" s="140"/>
      <c r="L120" s="140"/>
      <c r="M120" s="140"/>
      <c r="N120" s="140"/>
      <c r="O120" s="140"/>
      <c r="P120" s="140"/>
      <c r="Q120" s="140"/>
      <c r="R120" s="140"/>
      <c r="S120" s="140"/>
      <c r="T120" s="140"/>
      <c r="U120" s="101"/>
      <c r="V120" s="101"/>
      <c r="W120" s="101"/>
      <c r="X120" s="101"/>
    </row>
    <row r="121">
      <c r="A121" s="139"/>
      <c r="B121" s="157"/>
      <c r="C121" s="166"/>
      <c r="D121" s="159"/>
      <c r="E121" s="159"/>
      <c r="F121" s="159"/>
      <c r="G121" s="128"/>
      <c r="H121" s="160"/>
      <c r="I121" s="158"/>
      <c r="J121" s="158"/>
      <c r="K121" s="140"/>
      <c r="L121" s="140"/>
      <c r="M121" s="140"/>
      <c r="N121" s="140"/>
      <c r="O121" s="140"/>
      <c r="P121" s="140"/>
      <c r="Q121" s="140"/>
      <c r="R121" s="140"/>
      <c r="S121" s="140"/>
      <c r="T121" s="140"/>
      <c r="U121" s="101"/>
      <c r="V121" s="101"/>
      <c r="W121" s="101"/>
      <c r="X121" s="101"/>
    </row>
    <row r="122">
      <c r="A122" s="122"/>
      <c r="B122" s="161"/>
      <c r="C122" s="162"/>
      <c r="D122" s="163"/>
      <c r="E122" s="163"/>
      <c r="F122" s="163"/>
      <c r="G122" s="164"/>
      <c r="H122" s="164"/>
      <c r="I122" s="164"/>
      <c r="J122" s="164"/>
      <c r="K122" s="121"/>
      <c r="L122" s="121"/>
      <c r="M122" s="131"/>
      <c r="N122" s="132"/>
      <c r="O122" s="132"/>
      <c r="P122" s="132"/>
      <c r="Q122" s="132"/>
      <c r="R122" s="132"/>
      <c r="S122" s="132"/>
      <c r="T122" s="132"/>
      <c r="U122" s="86"/>
      <c r="V122" s="86"/>
      <c r="W122" s="86"/>
      <c r="X122" s="86"/>
    </row>
    <row r="123">
      <c r="A123" s="138"/>
      <c r="B123" s="157"/>
      <c r="C123" s="166"/>
      <c r="D123" s="159"/>
      <c r="E123" s="159"/>
      <c r="F123" s="159"/>
      <c r="G123" s="128"/>
      <c r="H123" s="160"/>
      <c r="I123" s="158"/>
      <c r="J123" s="158"/>
      <c r="K123" s="140"/>
      <c r="L123" s="140"/>
      <c r="M123" s="140"/>
      <c r="N123" s="140"/>
      <c r="O123" s="140"/>
      <c r="P123" s="140"/>
      <c r="Q123" s="140"/>
      <c r="R123" s="140"/>
      <c r="S123" s="140"/>
      <c r="T123" s="140"/>
      <c r="U123" s="101"/>
      <c r="V123" s="101"/>
      <c r="W123" s="101"/>
      <c r="X123" s="101"/>
    </row>
    <row r="124">
      <c r="A124" s="139"/>
      <c r="B124" s="157"/>
      <c r="C124" s="166"/>
      <c r="D124" s="159"/>
      <c r="E124" s="159"/>
      <c r="F124" s="159"/>
      <c r="G124" s="128"/>
      <c r="H124" s="160"/>
      <c r="I124" s="158"/>
      <c r="J124" s="158"/>
      <c r="K124" s="140"/>
      <c r="L124" s="140"/>
      <c r="M124" s="140"/>
      <c r="N124" s="140"/>
      <c r="O124" s="140"/>
      <c r="P124" s="140"/>
      <c r="Q124" s="140"/>
      <c r="R124" s="140"/>
      <c r="S124" s="140"/>
      <c r="T124" s="140"/>
      <c r="U124" s="101"/>
      <c r="V124" s="101"/>
      <c r="W124" s="101"/>
      <c r="X124" s="101"/>
    </row>
    <row r="125">
      <c r="A125" s="139"/>
      <c r="B125" s="157"/>
      <c r="C125" s="166"/>
      <c r="D125" s="159"/>
      <c r="E125" s="159"/>
      <c r="F125" s="159"/>
      <c r="G125" s="128"/>
      <c r="H125" s="160"/>
      <c r="I125" s="158"/>
      <c r="J125" s="158"/>
      <c r="K125" s="140"/>
      <c r="L125" s="140"/>
      <c r="M125" s="140"/>
      <c r="N125" s="140"/>
      <c r="O125" s="140"/>
      <c r="P125" s="140"/>
      <c r="Q125" s="140"/>
      <c r="R125" s="140"/>
      <c r="S125" s="140"/>
      <c r="T125" s="140"/>
      <c r="U125" s="101"/>
      <c r="V125" s="101"/>
      <c r="W125" s="101"/>
      <c r="X125" s="101"/>
    </row>
    <row r="126">
      <c r="A126" s="139"/>
      <c r="B126" s="157"/>
      <c r="C126" s="166"/>
      <c r="D126" s="159"/>
      <c r="E126" s="159"/>
      <c r="F126" s="159"/>
      <c r="G126" s="128"/>
      <c r="H126" s="160"/>
      <c r="I126" s="158"/>
      <c r="J126" s="158"/>
      <c r="K126" s="140"/>
      <c r="L126" s="140"/>
      <c r="M126" s="140"/>
      <c r="N126" s="140"/>
      <c r="O126" s="140"/>
      <c r="P126" s="140"/>
      <c r="Q126" s="140"/>
      <c r="R126" s="140"/>
      <c r="S126" s="140"/>
      <c r="T126" s="140"/>
      <c r="U126" s="101"/>
      <c r="V126" s="101"/>
      <c r="W126" s="101"/>
      <c r="X126" s="101"/>
    </row>
    <row r="127">
      <c r="A127" s="122"/>
      <c r="B127" s="161"/>
      <c r="C127" s="162"/>
      <c r="D127" s="163"/>
      <c r="E127" s="163"/>
      <c r="F127" s="163"/>
      <c r="G127" s="164"/>
      <c r="H127" s="164"/>
      <c r="I127" s="164"/>
      <c r="J127" s="164"/>
      <c r="K127" s="121"/>
      <c r="L127" s="121"/>
      <c r="M127" s="131"/>
      <c r="N127" s="132"/>
      <c r="O127" s="132"/>
      <c r="P127" s="132"/>
      <c r="Q127" s="132"/>
      <c r="R127" s="132"/>
      <c r="S127" s="132"/>
      <c r="T127" s="132"/>
      <c r="U127" s="86"/>
      <c r="V127" s="86"/>
      <c r="W127" s="86"/>
      <c r="X127" s="86"/>
    </row>
    <row r="128">
      <c r="A128" s="167"/>
      <c r="B128" s="132"/>
      <c r="C128" s="168"/>
      <c r="D128" s="169"/>
      <c r="E128" s="169"/>
      <c r="F128" s="169"/>
      <c r="G128" s="170"/>
      <c r="H128" s="171"/>
      <c r="I128" s="140"/>
      <c r="J128" s="140"/>
      <c r="K128" s="140"/>
      <c r="L128" s="140"/>
      <c r="M128" s="140"/>
      <c r="N128" s="140"/>
      <c r="O128" s="140"/>
      <c r="P128" s="140"/>
      <c r="Q128" s="140"/>
      <c r="R128" s="140"/>
      <c r="S128" s="140"/>
      <c r="T128" s="140"/>
      <c r="U128" s="101"/>
      <c r="V128" s="101"/>
      <c r="W128" s="101"/>
      <c r="X128" s="101"/>
    </row>
    <row r="129">
      <c r="A129" s="167"/>
      <c r="B129" s="132"/>
      <c r="C129" s="168"/>
      <c r="D129" s="169"/>
      <c r="E129" s="169"/>
      <c r="F129" s="169"/>
      <c r="G129" s="170"/>
      <c r="H129" s="171"/>
      <c r="I129" s="140"/>
      <c r="J129" s="140"/>
      <c r="K129" s="140"/>
      <c r="L129" s="140"/>
      <c r="M129" s="140"/>
      <c r="N129" s="140"/>
      <c r="O129" s="140"/>
      <c r="P129" s="140"/>
      <c r="Q129" s="140"/>
      <c r="R129" s="140"/>
      <c r="S129" s="140"/>
      <c r="T129" s="140"/>
      <c r="U129" s="101"/>
      <c r="V129" s="101"/>
      <c r="W129" s="101"/>
      <c r="X129" s="101"/>
    </row>
    <row r="130">
      <c r="A130" s="167"/>
      <c r="B130" s="132"/>
      <c r="C130" s="168"/>
      <c r="D130" s="169"/>
      <c r="E130" s="169"/>
      <c r="F130" s="169"/>
      <c r="G130" s="170"/>
      <c r="H130" s="171"/>
      <c r="I130" s="140"/>
      <c r="J130" s="140"/>
      <c r="K130" s="140"/>
      <c r="L130" s="140"/>
      <c r="M130" s="140"/>
      <c r="N130" s="140"/>
      <c r="O130" s="140"/>
      <c r="P130" s="140"/>
      <c r="Q130" s="140"/>
      <c r="R130" s="140"/>
      <c r="S130" s="140"/>
      <c r="T130" s="140"/>
      <c r="U130" s="101"/>
      <c r="V130" s="101"/>
      <c r="W130" s="101"/>
      <c r="X130" s="101"/>
    </row>
    <row r="131">
      <c r="A131" s="167"/>
      <c r="B131" s="132"/>
      <c r="C131" s="168"/>
      <c r="D131" s="169"/>
      <c r="E131" s="169"/>
      <c r="F131" s="169"/>
      <c r="G131" s="170"/>
      <c r="H131" s="171"/>
      <c r="I131" s="140"/>
      <c r="J131" s="140"/>
      <c r="K131" s="140"/>
      <c r="L131" s="140"/>
      <c r="M131" s="140"/>
      <c r="N131" s="140"/>
      <c r="O131" s="140"/>
      <c r="P131" s="140"/>
      <c r="Q131" s="140"/>
      <c r="R131" s="140"/>
      <c r="S131" s="140"/>
      <c r="T131" s="140"/>
      <c r="U131" s="101"/>
      <c r="V131" s="101"/>
      <c r="W131" s="101"/>
      <c r="X131" s="101"/>
    </row>
  </sheetData>
  <mergeCells count="2">
    <mergeCell ref="A1:M1"/>
    <mergeCell ref="K2:L2"/>
  </mergeCells>
  <conditionalFormatting sqref="B2 M2">
    <cfRule type="cellIs" dxfId="0" priority="1" stopIfTrue="1" operator="greaterThanOrEqual">
      <formula>0.8</formula>
    </cfRule>
  </conditionalFormatting>
  <conditionalFormatting sqref="B2 M2">
    <cfRule type="cellIs" dxfId="4" priority="2" stopIfTrue="1" operator="lessThan">
      <formula>0.6</formula>
    </cfRule>
  </conditionalFormatting>
  <conditionalFormatting sqref="B2 M2">
    <cfRule type="cellIs" dxfId="1" priority="3" stopIfTrue="1" operator="between">
      <formula>0.6</formula>
      <formula>0.79</formula>
    </cfRule>
  </conditionalFormatting>
  <conditionalFormatting sqref="F15:F24 G15:G131 I15:J131 F26:F35 H28 H30:H131 F37:F43 A38:B38 F45:F131 P45:Q45 S45:T45 P51:Q51 S51:T51 P67:Q67 S67:T67 P70:Q70 S70:T70">
    <cfRule type="cellIs" dxfId="8" priority="4" stopIfTrue="1" operator="equal">
      <formula>"Deferred"</formula>
    </cfRule>
  </conditionalFormatting>
  <conditionalFormatting sqref="F15:F24 G15:G131 I15:J131 F26:F35 H28 H30:H131 F37:F43 A38:B38 F45:F131 P45:Q45 S45:T45 P51:Q51 S51:T51 P67:Q67 S67:T67 P70:Q70 S70:T70">
    <cfRule type="cellIs" dxfId="1" priority="5" stopIfTrue="1" operator="equal">
      <formula>"Blocked"</formula>
    </cfRule>
  </conditionalFormatting>
  <conditionalFormatting sqref="F15:F24 G15:G131 I15:J131 F26:F35 H28 H30:H131 F37:F43 A38:B38 F45:F131 P45:Q45 S45:T45 P51:Q51 S51:T51 P67:Q67 S67:T67 P70:Q70 S70:T70">
    <cfRule type="cellIs" dxfId="9" priority="6" stopIfTrue="1" operator="equal">
      <formula>"Fail"</formula>
    </cfRule>
  </conditionalFormatting>
  <conditionalFormatting sqref="F15:F24 G15:G131 I15:J131 F26:F35 H28 H30:H131 F37:F43 A38:B38 F45:F131 P45:Q45 S45:T45 P51:Q51 S51:T51 P67:Q67 S67:T67 P70:Q70 S70:T70">
    <cfRule type="cellIs" dxfId="10" priority="7" stopIfTrue="1" operator="equal">
      <formula>"Pass"</formula>
    </cfRule>
  </conditionalFormatting>
  <conditionalFormatting sqref="F15:F24 G15:J131 F26:F35 F37:F43 A38:B38 F45:F131 P45:T45 P51:T51 P67:T67 P70:T70">
    <cfRule type="cellIs" dxfId="10" priority="8" stopIfTrue="1" operator="equal">
      <formula>"Automated"</formula>
    </cfRule>
  </conditionalFormatting>
  <dataValidations>
    <dataValidation type="list" allowBlank="1" showErrorMessage="1" sqref="J15:J37 J39:J52 J54:J63 J65:J68 J70:J82 J84:J94 J96:J112 J114:J121 J123:J126 J128:J131">
      <formula1>"Automated,Yet To Automate,Cannot Automate,Partially Automated"</formula1>
    </dataValidation>
  </dataValidations>
  <hyperlinks>
    <hyperlink r:id="rId1" ref="A4"/>
    <hyperlink r:id="rId2" ref="A5"/>
    <hyperlink r:id="rId3" ref="A6"/>
    <hyperlink r:id="rId4" ref="A7"/>
    <hyperlink r:id="rId5" ref="A8"/>
    <hyperlink r:id="rId6" ref="A9"/>
    <hyperlink r:id="rId7" ref="A15"/>
    <hyperlink r:id="rId8" ref="A22"/>
    <hyperlink r:id="rId9" ref="A30"/>
    <hyperlink r:id="rId10" ref="A39"/>
    <hyperlink r:id="rId11" ref="A54"/>
    <hyperlink r:id="rId12" ref="A65"/>
  </hyperlinks>
  <printOptions/>
  <pageMargins bottom="0.75" footer="0.0" header="0.0" left="0.7" right="0.7" top="0.75"/>
  <pageSetup orientation="portrait"/>
  <headerFooter>
    <oddFooter>&amp;C000000&amp;P</oddFooter>
  </headerFooter>
  <drawing r:id="rId13"/>
  <tableParts count="20">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43"/>
    <col customWidth="1" min="2" max="2" width="22.14"/>
    <col customWidth="1" min="3" max="4" width="12.14"/>
    <col customWidth="1" min="5" max="5" width="11.71"/>
    <col customWidth="1" min="6" max="6" width="10.86"/>
    <col customWidth="1" min="7" max="7" width="13.86"/>
    <col customWidth="1" min="10" max="10" width="18.0"/>
    <col customWidth="1" min="11" max="11" width="21.0"/>
    <col customWidth="1" min="12" max="12" width="23.86"/>
  </cols>
  <sheetData>
    <row r="4">
      <c r="A4" s="172" t="s">
        <v>259</v>
      </c>
      <c r="B4" s="173"/>
      <c r="C4" s="173"/>
      <c r="D4" s="173"/>
      <c r="E4" s="173"/>
    </row>
    <row r="5">
      <c r="A5" s="174" t="s">
        <v>260</v>
      </c>
      <c r="B5" s="174" t="s">
        <v>40</v>
      </c>
      <c r="C5" s="174" t="s">
        <v>261</v>
      </c>
      <c r="D5" s="174" t="s">
        <v>262</v>
      </c>
      <c r="E5" s="174" t="s">
        <v>33</v>
      </c>
      <c r="F5" s="175" t="s">
        <v>263</v>
      </c>
    </row>
    <row r="6" ht="23.25" customHeight="1">
      <c r="A6" s="176" t="s">
        <v>264</v>
      </c>
      <c r="B6" s="177">
        <v>6.0</v>
      </c>
      <c r="C6" s="177">
        <v>6.0</v>
      </c>
      <c r="D6" s="177">
        <v>5.0</v>
      </c>
      <c r="E6" s="177">
        <v>1.0</v>
      </c>
      <c r="F6" s="177" t="s">
        <v>265</v>
      </c>
    </row>
    <row r="7">
      <c r="A7" s="178"/>
      <c r="B7" s="178"/>
      <c r="C7" s="178"/>
      <c r="D7" s="179"/>
      <c r="E7" s="178"/>
    </row>
    <row r="10">
      <c r="A10" s="180" t="s">
        <v>266</v>
      </c>
      <c r="E10" s="181"/>
      <c r="F10" s="182"/>
      <c r="G10" s="181"/>
      <c r="H10" s="182"/>
      <c r="I10" s="182"/>
      <c r="J10" s="182"/>
      <c r="K10" s="182"/>
      <c r="L10" s="182"/>
      <c r="M10" s="182"/>
      <c r="N10" s="183"/>
    </row>
    <row r="11">
      <c r="A11" s="184" t="s">
        <v>267</v>
      </c>
      <c r="B11" s="184" t="s">
        <v>268</v>
      </c>
      <c r="C11" s="184" t="s">
        <v>269</v>
      </c>
      <c r="D11" s="184" t="s">
        <v>10</v>
      </c>
      <c r="E11" s="184" t="s">
        <v>270</v>
      </c>
      <c r="F11" s="185" t="s">
        <v>271</v>
      </c>
      <c r="G11" s="185" t="s">
        <v>272</v>
      </c>
      <c r="H11" s="185" t="s">
        <v>273</v>
      </c>
      <c r="I11" s="185" t="s">
        <v>274</v>
      </c>
      <c r="J11" s="185" t="s">
        <v>275</v>
      </c>
      <c r="K11" s="185" t="s">
        <v>276</v>
      </c>
      <c r="M11" s="186"/>
      <c r="N11" s="185" t="s">
        <v>271</v>
      </c>
      <c r="O11" s="185" t="s">
        <v>23</v>
      </c>
      <c r="P11" s="185" t="s">
        <v>24</v>
      </c>
      <c r="Q11" s="185" t="s">
        <v>25</v>
      </c>
      <c r="R11" s="185" t="s">
        <v>26</v>
      </c>
      <c r="S11" s="185" t="s">
        <v>277</v>
      </c>
      <c r="Y11" s="187"/>
      <c r="Z11" s="187"/>
    </row>
    <row r="12">
      <c r="A12" s="188">
        <v>1.0</v>
      </c>
      <c r="B12" s="189" t="str">
        <f>'TestCase Coverage'!A4</f>
        <v>PRDOPS-490</v>
      </c>
      <c r="C12" s="104">
        <f>'TestCase Coverage'!B4</f>
        <v>6</v>
      </c>
      <c r="D12" s="104">
        <f>'TestCase Coverage'!C4</f>
        <v>6</v>
      </c>
      <c r="E12" s="190">
        <v>1.0</v>
      </c>
      <c r="F12" s="191">
        <f t="shared" ref="F12:F18" si="1">N12</f>
        <v>1</v>
      </c>
      <c r="G12" s="192">
        <f t="shared" ref="G12:G17" si="2">N12/C12*100</f>
        <v>16.66666667</v>
      </c>
      <c r="H12" s="192">
        <v>0.0</v>
      </c>
      <c r="I12" s="192">
        <v>0.0</v>
      </c>
      <c r="J12" s="191">
        <v>2.0</v>
      </c>
      <c r="K12" s="193" t="s">
        <v>278</v>
      </c>
      <c r="M12" s="194"/>
      <c r="N12" s="104">
        <f t="shared" ref="N12:N18" si="3">SUM(O12:R12)</f>
        <v>1</v>
      </c>
      <c r="O12" s="104">
        <v>0.0</v>
      </c>
      <c r="P12" s="104">
        <v>0.0</v>
      </c>
      <c r="Q12" s="195">
        <v>1.0</v>
      </c>
      <c r="R12" s="104">
        <v>0.0</v>
      </c>
      <c r="S12" s="104">
        <v>0.0</v>
      </c>
      <c r="Y12" s="187"/>
      <c r="Z12" s="187"/>
    </row>
    <row r="13">
      <c r="A13" s="188">
        <v>2.0</v>
      </c>
      <c r="B13" s="189" t="str">
        <f>'TestCase Coverage'!A5</f>
        <v>PRDOPS-415</v>
      </c>
      <c r="C13" s="104">
        <f>'TestCase Coverage'!B5</f>
        <v>7</v>
      </c>
      <c r="D13" s="104">
        <f>'TestCase Coverage'!C5</f>
        <v>7</v>
      </c>
      <c r="E13" s="190">
        <v>1.0</v>
      </c>
      <c r="F13" s="191">
        <f t="shared" si="1"/>
        <v>1</v>
      </c>
      <c r="G13" s="192">
        <f t="shared" si="2"/>
        <v>14.28571429</v>
      </c>
      <c r="H13" s="192">
        <v>0.0</v>
      </c>
      <c r="I13" s="192">
        <v>0.0</v>
      </c>
      <c r="J13" s="196">
        <v>2.0</v>
      </c>
      <c r="K13" s="197"/>
      <c r="L13" s="198"/>
      <c r="M13" s="199"/>
      <c r="N13" s="104">
        <f t="shared" si="3"/>
        <v>1</v>
      </c>
      <c r="O13" s="104">
        <v>0.0</v>
      </c>
      <c r="P13" s="195">
        <v>0.0</v>
      </c>
      <c r="Q13" s="195">
        <v>1.0</v>
      </c>
      <c r="R13" s="104">
        <v>0.0</v>
      </c>
      <c r="S13" s="104">
        <v>0.0</v>
      </c>
      <c r="Y13" s="187"/>
      <c r="Z13" s="187"/>
    </row>
    <row r="14">
      <c r="A14" s="188">
        <v>3.0</v>
      </c>
      <c r="B14" s="189" t="str">
        <f>'TestCase Coverage'!A7</f>
        <v>PRDOPS-477</v>
      </c>
      <c r="C14" s="104">
        <f>'TestCase Coverage'!B7</f>
        <v>14</v>
      </c>
      <c r="D14" s="104">
        <f>'TestCase Coverage'!C7</f>
        <v>14</v>
      </c>
      <c r="E14" s="190">
        <v>1.0</v>
      </c>
      <c r="F14" s="191">
        <f t="shared" si="1"/>
        <v>3</v>
      </c>
      <c r="G14" s="192">
        <f t="shared" si="2"/>
        <v>21.42857143</v>
      </c>
      <c r="H14" s="192">
        <v>0.0</v>
      </c>
      <c r="I14" s="192">
        <v>0.0</v>
      </c>
      <c r="J14" s="191">
        <v>2.0</v>
      </c>
      <c r="K14" s="200"/>
      <c r="M14" s="199"/>
      <c r="N14" s="104">
        <f t="shared" si="3"/>
        <v>3</v>
      </c>
      <c r="O14" s="195">
        <v>1.0</v>
      </c>
      <c r="P14" s="195">
        <v>2.0</v>
      </c>
      <c r="Q14" s="104">
        <v>0.0</v>
      </c>
      <c r="R14" s="104">
        <v>0.0</v>
      </c>
      <c r="Y14" s="187"/>
      <c r="Z14" s="187"/>
    </row>
    <row r="15">
      <c r="A15" s="188">
        <v>4.0</v>
      </c>
      <c r="B15" s="189" t="str">
        <f>'TestCase Coverage'!A8</f>
        <v>PRDOPS-470</v>
      </c>
      <c r="C15" s="104">
        <f>'TestCase Coverage'!B8</f>
        <v>10</v>
      </c>
      <c r="D15" s="104">
        <f>'TestCase Coverage'!C8</f>
        <v>10</v>
      </c>
      <c r="E15" s="190">
        <v>1.0</v>
      </c>
      <c r="F15" s="191">
        <f t="shared" si="1"/>
        <v>1</v>
      </c>
      <c r="G15" s="191">
        <f t="shared" si="2"/>
        <v>10</v>
      </c>
      <c r="H15" s="192">
        <v>0.0</v>
      </c>
      <c r="I15" s="192">
        <v>0.0</v>
      </c>
      <c r="J15" s="191">
        <v>4.0</v>
      </c>
      <c r="K15" s="200"/>
      <c r="M15" s="199"/>
      <c r="N15" s="104">
        <f t="shared" si="3"/>
        <v>1</v>
      </c>
      <c r="O15" s="104">
        <v>0.0</v>
      </c>
      <c r="P15" s="104">
        <v>0.0</v>
      </c>
      <c r="Q15" s="104">
        <v>1.0</v>
      </c>
      <c r="R15" s="104">
        <v>0.0</v>
      </c>
      <c r="S15" s="195">
        <v>1.0</v>
      </c>
      <c r="Y15" s="187"/>
      <c r="Z15" s="187"/>
    </row>
    <row r="16">
      <c r="A16" s="188">
        <v>5.0</v>
      </c>
      <c r="B16" s="189" t="str">
        <f>'TestCase Coverage'!A6</f>
        <v>PRDOPS-413</v>
      </c>
      <c r="C16" s="104">
        <f>'TestCase Coverage'!B6</f>
        <v>8</v>
      </c>
      <c r="D16" s="104">
        <f>'TestCase Coverage'!C6</f>
        <v>8</v>
      </c>
      <c r="E16" s="190">
        <v>1.0</v>
      </c>
      <c r="F16" s="191">
        <f t="shared" si="1"/>
        <v>0</v>
      </c>
      <c r="G16" s="191">
        <f t="shared" si="2"/>
        <v>0</v>
      </c>
      <c r="H16" s="192">
        <v>0.0</v>
      </c>
      <c r="I16" s="192">
        <v>0.0</v>
      </c>
      <c r="J16" s="191">
        <v>4.0</v>
      </c>
      <c r="K16" s="201"/>
      <c r="M16" s="199"/>
      <c r="N16" s="104">
        <f t="shared" si="3"/>
        <v>0</v>
      </c>
      <c r="O16" s="104">
        <v>0.0</v>
      </c>
      <c r="P16" s="104">
        <v>0.0</v>
      </c>
      <c r="Q16" s="104">
        <v>0.0</v>
      </c>
      <c r="R16" s="104">
        <v>0.0</v>
      </c>
      <c r="S16" s="104">
        <v>0.0</v>
      </c>
      <c r="Y16" s="187"/>
      <c r="Z16" s="187"/>
    </row>
    <row r="17">
      <c r="A17" s="188">
        <v>6.0</v>
      </c>
      <c r="B17" s="189" t="str">
        <f>'TestCase Coverage'!A9</f>
        <v>PRDOPS-23</v>
      </c>
      <c r="C17" s="104">
        <f>'TestCase Coverage'!B9</f>
        <v>4</v>
      </c>
      <c r="D17" s="104">
        <f>'TestCase Coverage'!C9</f>
        <v>4</v>
      </c>
      <c r="E17" s="190">
        <v>1.0</v>
      </c>
      <c r="F17" s="191">
        <f t="shared" si="1"/>
        <v>1</v>
      </c>
      <c r="G17" s="191">
        <f t="shared" si="2"/>
        <v>25</v>
      </c>
      <c r="H17" s="192">
        <v>0.0</v>
      </c>
      <c r="I17" s="192">
        <v>0.0</v>
      </c>
      <c r="J17" s="191">
        <v>0.0</v>
      </c>
      <c r="K17" s="202" t="s">
        <v>279</v>
      </c>
      <c r="M17" s="199"/>
      <c r="N17" s="104">
        <f t="shared" si="3"/>
        <v>1</v>
      </c>
      <c r="O17" s="195">
        <v>1.0</v>
      </c>
      <c r="P17" s="104">
        <v>0.0</v>
      </c>
      <c r="Q17" s="104">
        <v>0.0</v>
      </c>
      <c r="R17" s="104">
        <v>0.0</v>
      </c>
      <c r="S17" s="195">
        <v>2.0</v>
      </c>
      <c r="Y17" s="187"/>
      <c r="Z17" s="187"/>
    </row>
    <row r="18">
      <c r="A18" s="203">
        <f t="shared" ref="A18:B18" si="4">COUNT(A12:A17)</f>
        <v>6</v>
      </c>
      <c r="B18" s="203">
        <f t="shared" si="4"/>
        <v>0</v>
      </c>
      <c r="C18" s="203">
        <f t="shared" ref="C18:D18" si="5">SUM(C12:C17)</f>
        <v>49</v>
      </c>
      <c r="D18" s="203">
        <f t="shared" si="5"/>
        <v>49</v>
      </c>
      <c r="E18" s="204">
        <f>AVERAGE(E12:E17)</f>
        <v>1</v>
      </c>
      <c r="F18" s="205">
        <f t="shared" si="1"/>
        <v>7</v>
      </c>
      <c r="G18" s="205">
        <f>AVERAGE(G12:G17)</f>
        <v>14.56349206</v>
      </c>
      <c r="H18" s="205">
        <f t="shared" ref="H18:J18" si="6">SUM(H12:H17)</f>
        <v>0</v>
      </c>
      <c r="I18" s="205">
        <f t="shared" si="6"/>
        <v>0</v>
      </c>
      <c r="J18" s="205">
        <f t="shared" si="6"/>
        <v>14</v>
      </c>
      <c r="K18" s="205"/>
      <c r="M18" s="185" t="s">
        <v>280</v>
      </c>
      <c r="N18" s="206">
        <f t="shared" si="3"/>
        <v>7</v>
      </c>
      <c r="O18" s="207">
        <f t="shared" ref="O18:S18" si="7">SUM(O12:O17)</f>
        <v>2</v>
      </c>
      <c r="P18" s="207">
        <f t="shared" si="7"/>
        <v>2</v>
      </c>
      <c r="Q18" s="207">
        <f t="shared" si="7"/>
        <v>3</v>
      </c>
      <c r="R18" s="207">
        <f t="shared" si="7"/>
        <v>0</v>
      </c>
      <c r="S18" s="207">
        <f t="shared" si="7"/>
        <v>3</v>
      </c>
      <c r="Y18" s="208"/>
      <c r="Z18" s="208"/>
    </row>
    <row r="19">
      <c r="A19" s="182"/>
      <c r="B19" s="182"/>
      <c r="C19" s="182"/>
      <c r="D19" s="182"/>
      <c r="E19" s="182"/>
      <c r="G19" s="182"/>
      <c r="M19" s="209" t="s">
        <v>281</v>
      </c>
      <c r="N19" s="206">
        <f>S18</f>
        <v>3</v>
      </c>
      <c r="O19" s="182"/>
      <c r="P19" s="182"/>
      <c r="Q19" s="182"/>
      <c r="R19" s="182"/>
      <c r="S19" s="183"/>
    </row>
    <row r="20">
      <c r="A20" s="210" t="s">
        <v>282</v>
      </c>
      <c r="B20" s="211"/>
      <c r="C20" s="211"/>
      <c r="D20" s="211"/>
      <c r="E20" s="211"/>
      <c r="G20" s="212"/>
      <c r="M20" s="185" t="s">
        <v>283</v>
      </c>
      <c r="N20" s="206">
        <f>SUM(N18:N19)</f>
        <v>10</v>
      </c>
      <c r="O20" s="182"/>
      <c r="P20" s="182"/>
      <c r="Q20" s="182"/>
      <c r="R20" s="182"/>
      <c r="S20" s="183"/>
    </row>
    <row r="21">
      <c r="A21" s="213" t="s">
        <v>284</v>
      </c>
      <c r="B21" s="214"/>
      <c r="C21" s="214"/>
      <c r="D21" s="214"/>
      <c r="E21" s="214"/>
      <c r="F21" s="182"/>
      <c r="G21" s="212"/>
      <c r="H21" s="182"/>
      <c r="I21" s="182"/>
      <c r="J21" s="182"/>
      <c r="K21" s="182"/>
      <c r="L21" s="182"/>
    </row>
    <row r="22">
      <c r="A22" s="215" t="s">
        <v>285</v>
      </c>
      <c r="B22" s="85"/>
      <c r="C22" s="216" t="s">
        <v>286</v>
      </c>
      <c r="D22" s="217" t="s">
        <v>287</v>
      </c>
      <c r="E22" s="217" t="s">
        <v>288</v>
      </c>
      <c r="F22" s="182"/>
      <c r="H22" s="182"/>
      <c r="I22" s="182"/>
      <c r="J22" s="182"/>
      <c r="K22" s="182"/>
      <c r="L22" s="182"/>
      <c r="M22" s="182"/>
      <c r="N22" s="183"/>
    </row>
    <row r="23">
      <c r="A23" s="218" t="s">
        <v>23</v>
      </c>
      <c r="B23" s="219">
        <v>2.0</v>
      </c>
      <c r="C23" s="219">
        <v>2.0</v>
      </c>
      <c r="D23" s="220">
        <v>0.0</v>
      </c>
      <c r="E23" s="221">
        <v>0.0</v>
      </c>
      <c r="F23" s="182"/>
      <c r="H23" s="182"/>
      <c r="I23" s="182"/>
      <c r="J23" s="182"/>
      <c r="K23" s="182"/>
      <c r="L23" s="182"/>
      <c r="M23" s="182"/>
      <c r="N23" s="183"/>
    </row>
    <row r="24">
      <c r="A24" s="218" t="s">
        <v>24</v>
      </c>
      <c r="B24" s="219">
        <v>2.0</v>
      </c>
      <c r="C24" s="219">
        <v>2.0</v>
      </c>
      <c r="D24" s="220">
        <v>0.0</v>
      </c>
      <c r="E24" s="200"/>
      <c r="F24" s="182"/>
      <c r="H24" s="182"/>
      <c r="I24" s="182"/>
      <c r="J24" s="182"/>
      <c r="K24" s="182"/>
      <c r="L24" s="182"/>
      <c r="M24" s="182"/>
      <c r="N24" s="183"/>
    </row>
    <row r="25">
      <c r="A25" s="218" t="s">
        <v>25</v>
      </c>
      <c r="B25" s="219">
        <v>3.0</v>
      </c>
      <c r="C25" s="219">
        <v>3.0</v>
      </c>
      <c r="D25" s="220">
        <v>0.0</v>
      </c>
      <c r="E25" s="201"/>
      <c r="F25" s="182"/>
      <c r="H25" s="182"/>
      <c r="N25" s="183"/>
    </row>
    <row r="26">
      <c r="A26" s="222"/>
      <c r="B26" s="223"/>
      <c r="C26" s="223"/>
      <c r="D26" s="223"/>
      <c r="E26" s="224"/>
      <c r="F26" s="182"/>
      <c r="H26" s="182"/>
      <c r="I26" s="182"/>
      <c r="J26" s="182"/>
      <c r="K26" s="182"/>
      <c r="L26" s="182"/>
      <c r="M26" s="182"/>
      <c r="N26" s="183"/>
    </row>
    <row r="27">
      <c r="A27" s="225"/>
      <c r="B27" s="101"/>
      <c r="C27" s="101"/>
      <c r="D27" s="101"/>
      <c r="E27" s="101"/>
      <c r="G27" s="101"/>
    </row>
    <row r="28">
      <c r="A28" s="226"/>
      <c r="C28" s="226"/>
      <c r="D28" s="226"/>
      <c r="E28" s="226"/>
      <c r="F28" s="226"/>
      <c r="G28" s="226"/>
      <c r="H28" s="226"/>
    </row>
    <row r="29">
      <c r="A29" s="226"/>
      <c r="B29" s="227"/>
      <c r="C29" s="227"/>
      <c r="D29" s="227"/>
      <c r="E29" s="227"/>
      <c r="F29" s="228"/>
      <c r="G29" s="227"/>
      <c r="H29" s="228"/>
    </row>
    <row r="30">
      <c r="A30" s="229"/>
      <c r="B30" s="228"/>
      <c r="C30" s="228"/>
      <c r="D30" s="228"/>
      <c r="E30" s="228"/>
      <c r="F30" s="228"/>
    </row>
    <row r="31">
      <c r="A31" s="229"/>
      <c r="B31" s="228"/>
      <c r="C31" s="228"/>
      <c r="D31" s="228"/>
      <c r="E31" s="228"/>
      <c r="F31" s="228"/>
    </row>
  </sheetData>
  <mergeCells count="12">
    <mergeCell ref="A22:B22"/>
    <mergeCell ref="A28:B28"/>
    <mergeCell ref="G29:G31"/>
    <mergeCell ref="H29:H31"/>
    <mergeCell ref="E23:E25"/>
    <mergeCell ref="A1:A2"/>
    <mergeCell ref="B1:B2"/>
    <mergeCell ref="D1:D2"/>
    <mergeCell ref="E1:E2"/>
    <mergeCell ref="G1:G2"/>
    <mergeCell ref="A10:D10"/>
    <mergeCell ref="K12:K16"/>
  </mergeCells>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2023-05-09T06:08:54Z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31BC792483444B37A9D8781CEBB1499C</vt:lpwstr>
  </property>
  <property fmtid="{D5CDD505-2E9C-101B-9397-08002B2CF9AE}" pid="3" name="KSOProductBuildVer">
    <vt:lpwstr>1033-11.2.0.11537</vt:lpwstr>
  </property>
</Properties>
</file>